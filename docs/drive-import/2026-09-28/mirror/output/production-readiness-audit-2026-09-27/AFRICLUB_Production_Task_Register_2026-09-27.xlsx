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89507347df4ec5" /></Relationships>
</file>

<file path=xl/workbook.xml><?xml version="1.0" encoding="utf-8"?>
<x:workbook xmlns:x="http://schemas.openxmlformats.org/spreadsheetml/2006/main">
  <x:sheets>
    <x:sheet xmlns:r="http://schemas.openxmlformats.org/officeDocument/2006/relationships" name="Dashboard" sheetId="1" r:id="R26f7ed428c7e4fe2"/>
    <x:sheet xmlns:r="http://schemas.openxmlformats.org/officeDocument/2006/relationships" name="Tasks" sheetId="2" r:id="Rb1820e703aa24269"/>
    <x:sheet xmlns:r="http://schemas.openxmlformats.org/officeDocument/2006/relationships" name="TaskDetails" sheetId="3" r:id="R32439e459afb40bb"/>
    <x:sheet xmlns:r="http://schemas.openxmlformats.org/officeDocument/2006/relationships" name="Findings" sheetId="4" r:id="R10174c62e07745f8"/>
    <x:sheet xmlns:r="http://schemas.openxmlformats.org/officeDocument/2006/relationships" name="OriginalQA37" sheetId="5" r:id="R726dcda284894baa"/>
    <x:sheet xmlns:r="http://schemas.openxmlformats.org/officeDocument/2006/relationships" name="Sources" sheetId="6" r:id="Ra14612c66ac64776"/>
    <x:sheet xmlns:r="http://schemas.openxmlformats.org/officeDocument/2006/relationships" name="ReleaseGates" sheetId="7" r:id="R8230a1b7419d44dd"/>
    <x:sheet xmlns:r="http://schemas.openxmlformats.org/officeDocument/2006/relationships" name="ClubMatrix" sheetId="8" r:id="R2c68306edb9744b6"/>
    <x:sheet xmlns:r="http://schemas.openxmlformats.org/officeDocument/2006/relationships" name="AuditLimits" sheetId="9" r:id="R13d5798d81c446c1"/>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0"/>
      <x:name val="Carlito"/>
    </x:font>
    <x:font>
      <x:b/>
      <x:sz val="18"/>
      <x:color rgb="FFFFFFFF"/>
      <x:name val="Carlito"/>
    </x:font>
    <x:font>
      <x:b/>
      <x:sz val="15"/>
      <x:color rgb="FF9F2F26"/>
      <x:name val="Carlito"/>
    </x:font>
    <x:font>
      <x:sz val="10"/>
      <x:color rgb="FF233747"/>
      <x:name val="Carlito"/>
    </x:font>
    <x:font>
      <x:b/>
      <x:sz val="10"/>
      <x:name val="Carlito"/>
    </x:font>
    <x:font>
      <x:b/>
      <x:sz val="10"/>
      <x:color rgb="FFFFFFFF"/>
      <x:name val="Carlito"/>
    </x:font>
    <x:font>
      <x:b/>
      <x:sz val="15"/>
      <x:color rgb="FFFFFFFF"/>
      <x:name val="Carlito"/>
    </x:font>
  </x:fonts>
  <x:fills count="7">
    <x:fill>
      <x:patternFill patternType="none"/>
    </x:fill>
    <x:fill>
      <x:patternFill patternType="gray125"/>
    </x:fill>
    <x:fill>
      <x:patternFill patternType="solid">
        <x:fgColor rgb="FF153047"/>
      </x:patternFill>
    </x:fill>
    <x:fill>
      <x:patternFill patternType="solid">
        <x:fgColor rgb="FFFDEAE6"/>
      </x:patternFill>
    </x:fill>
    <x:fill>
      <x:patternFill patternType="solid">
        <x:fgColor rgb="FFEAF3F4"/>
      </x:patternFill>
    </x:fill>
    <x:fill>
      <x:patternFill patternType="solid">
        <x:fgColor rgb="FFF2F5F7"/>
      </x:patternFill>
    </x:fill>
    <x:fill>
      <x:patternFill patternType="solid">
        <x:fgColor rgb="FF0B6B70"/>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x:xf numFmtId="0" fontId="4" fillId="0" borderId="1" xfId="0" applyNumberFormat="1" applyFont="1" applyFill="1" applyBorder="1" applyAlignment="1">
      <x:alignment wrapText="1"/>
    </x:xf>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x:xf numFmtId="0" fontId="1" fillId="4" borderId="1"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1" xfId="0" applyNumberFormat="1" applyFont="1" applyFill="1" applyBorder="1" applyAlignment="1">
      <x:alignment wrapText="1"/>
    </x:xf>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vertical="center" wrapText="1"/>
    </x:xf>
    <x:xf numFmtId="0" fontId="1" fillId="6" borderId="0" xfId="0" applyNumberFormat="1" applyFont="1" applyFill="1" applyBorder="1"/>
    <x:xf numFmtId="0" fontId="6" fillId="6" borderId="0" xfId="0" applyNumberFormat="1" applyFont="1" applyFill="1" applyBorder="1"/>
    <x:xf numFmtId="0" fontId="1" fillId="6" borderId="1" xfId="0" applyNumberFormat="1" applyFont="1" applyFill="1" applyBorder="1"/>
    <x:xf numFmtId="0" fontId="6" fillId="6"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0" fillId="2" borderId="0" xfId="0" applyNumberFormat="1" applyFont="1" applyFill="1" applyBorder="1"/>
    <x:xf numFmtId="0" fontId="7" fillId="2" borderId="0" xfId="0" applyNumberFormat="1" applyFont="1" applyFill="1" applyBorder="1"/>
    <x:xf numFmtId="0" fontId="0" fillId="2" borderId="1" xfId="0" applyNumberFormat="1" applyFont="1" applyFill="1" applyBorder="1"/>
    <x:xf numFmtId="0" fontId="7" fillId="2" borderId="1"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5" fillId="4" borderId="0" xfId="0" applyNumberFormat="1" applyFont="1" applyFill="1" applyBorder="1" applyAlignment="1">
      <x:alignment horizontal="center" wrapText="1"/>
    </x:xf>
    <x:xf numFmtId="0" fontId="5" fillId="4" borderId="1" xfId="0" applyNumberFormat="1" applyFont="1" applyFill="1" applyBorder="1" applyAlignment="1">
      <x:alignment horizontal="center" wrapText="1"/>
    </x:xf>
  </x:cellXfs>
  <x:cellStyles count="1">
    <x:cellStyle name="Normal" xfId="0"/>
  </x:cellStyles>
  <x:dxfs count="2">
    <x:dxf>
      <x:font>
        <x:b/>
        <x:color rgb="FF9F2F26"/>
      </x:font>
      <x:fill>
        <x:patternFill patternType="solid">
          <x:bgColor rgb="FFFBD5CE"/>
        </x:patternFill>
      </x:fill>
    </x:dxf>
    <x:dxf>
      <x:fill>
        <x:patternFill patternType="solid">
          <x:bgColor rgb="FFDDF2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92c73c1b5e481f" /><Relationship Type="http://schemas.openxmlformats.org/officeDocument/2006/relationships/theme" Target="/xl/theme/theme1.xml" Id="Re1e8589a5b064bb0" /><Relationship Type="http://schemas.openxmlformats.org/officeDocument/2006/relationships/sharedStrings" Target="/xl/sharedStrings.xml" Id="Rb32ca805a62b40ae" /><Relationship Type="http://schemas.openxmlformats.org/officeDocument/2006/relationships/worksheet" Target="/xl/worksheets/sheet1.xml" Id="R26f7ed428c7e4fe2" /><Relationship Type="http://schemas.openxmlformats.org/officeDocument/2006/relationships/worksheet" Target="/xl/worksheets/sheet2.xml" Id="Rb1820e703aa24269" /><Relationship Type="http://schemas.openxmlformats.org/officeDocument/2006/relationships/worksheet" Target="/xl/worksheets/sheet3.xml" Id="R32439e459afb40bb" /><Relationship Type="http://schemas.openxmlformats.org/officeDocument/2006/relationships/worksheet" Target="/xl/worksheets/sheet4.xml" Id="R10174c62e07745f8" /><Relationship Type="http://schemas.openxmlformats.org/officeDocument/2006/relationships/worksheet" Target="/xl/worksheets/sheet5.xml" Id="R726dcda284894baa" /><Relationship Type="http://schemas.openxmlformats.org/officeDocument/2006/relationships/worksheet" Target="/xl/worksheets/sheet6.xml" Id="Ra14612c66ac64776" /><Relationship Type="http://schemas.openxmlformats.org/officeDocument/2006/relationships/worksheet" Target="/xl/worksheets/sheet7.xml" Id="R8230a1b7419d44dd" /><Relationship Type="http://schemas.openxmlformats.org/officeDocument/2006/relationships/worksheet" Target="/xl/worksheets/sheet8.xml" Id="R2c68306edb9744b6" /><Relationship Type="http://schemas.openxmlformats.org/officeDocument/2006/relationships/worksheet" Target="/xl/worksheets/sheet9.xml" Id="R13d5798d81c446c1" /></Relationships>
</file>

<file path=xl/drawings/_rels/drawing1.xml.rels>&#65279;<?xml version="1.0" encoding="utf-8"?><Relationships xmlns="http://schemas.openxmlformats.org/package/2006/relationships"><Relationship Type="http://schemas.openxmlformats.org/officeDocument/2006/relationships/chart" Target="/xl/drawings/charts/chart1.xml" Id="R6c884aab745145d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Tasks by priority</a:t>
            </a:r>
          </a:p>
        </c:rich>
      </c:tx>
    </c:title>
    <c:plotArea>
      <c:barChart>
        <c:barDir val="col"/>
        <c:varyColors val="0"/>
        <c:ser>
          <c:idx val="0"/>
          <c:order val="0"/>
          <c:tx>
            <c:v>Tasks</c:v>
          </c:tx>
          <c:cat>
            <c:strRef>
              <c:f>'Dashboard'!$A$16:$A$18</c:f>
              <c:strCache>
                <c:ptCount val="0"/>
              </c:strCache>
            </c:strRef>
          </c:cat>
          <c:val>
            <c:numRef>
              <c:f>'Dashboard'!$B$16:$B$18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14</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884aab745145dc"/>
        </a:graphicData>
      </a:graphic>
    </xdr:graphicFrame>
    <xdr:clientData/>
  </xdr:twoCellAnchor>
</xdr:wsDr>
</file>

<file path=xl/tables/table1.xml><?xml version="1.0" encoding="utf-8"?>
<x:table xmlns:x="http://schemas.openxmlformats.org/spreadsheetml/2006/main" id="1" name="TasksTable" displayName="TasksTable" ref="A3:H151" headerRowCount="1" totalsRowCount="0" totalsRowShown="0">
  <x:tableColumns count="8">
    <x:tableColumn id="1" name="ID"/>
    <x:tableColumn id="2" name="Priority"/>
    <x:tableColumn id="3" name="Workstream"/>
    <x:tableColumn id="4" name="Task"/>
    <x:tableColumn id="5" name="Status"/>
    <x:tableColumn id="6" name="Recommended owner role"/>
    <x:tableColumn id="7" name="Dependencies"/>
    <x:tableColumn id="8" name="Release gate"/>
  </x:tableColumns>
  <x:tableStyleInfo name="TableStyleMedium2" showFirstColumn="0" showLastColumn="0" showRowStripes="1" showColumnStripes="0"/>
</x:table>
</file>

<file path=xl/tables/table2.xml><?xml version="1.0" encoding="utf-8"?>
<x:table xmlns:x="http://schemas.openxmlformats.org/spreadsheetml/2006/main" id="2" name="TaskDetailsTable" displayName="TaskDetailsTable" ref="A3:G151" headerRowCount="1" totalsRowCount="0" totalsRowShown="0">
  <x:tableColumns count="7">
    <x:tableColumn id="1" name="ID"/>
    <x:tableColumn id="2" name="Required action"/>
    <x:tableColumn id="3" name="Acceptance evidence"/>
    <x:tableColumn id="4" name="Source IDs"/>
    <x:tableColumn id="5" name="Primary source URLs"/>
    <x:tableColumn id="6" name="Original QA crosswalk"/>
    <x:tableColumn id="7" name="Approval / scope boundary"/>
  </x:tableColumns>
  <x:tableStyleInfo name="TableStyleMedium2" showFirstColumn="0" showLastColumn="0" showRowStripes="1" showColumnStripes="0"/>
</x:table>
</file>

<file path=xl/tables/table3.xml><?xml version="1.0" encoding="utf-8"?>
<x:table xmlns:x="http://schemas.openxmlformats.org/spreadsheetml/2006/main" id="3" name="FindingsTable" displayName="FindingsTable" ref="A3:H23" headerRowCount="1" totalsRowCount="0" totalsRowShown="0">
  <x:tableColumns count="8">
    <x:tableColumn id="1" name="ID"/>
    <x:tableColumn id="2" name="Priority"/>
    <x:tableColumn id="3" name="Finding"/>
    <x:tableColumn id="4" name="Evidence basis"/>
    <x:tableColumn id="5" name="Observation / limit"/>
    <x:tableColumn id="6" name="Required response"/>
    <x:tableColumn id="7" name="Task IDs"/>
    <x:tableColumn id="8" name="Source IDs"/>
  </x:tableColumns>
  <x:tableStyleInfo name="TableStyleMedium2" showFirstColumn="0" showLastColumn="0" showRowStripes="1" showColumnStripes="0"/>
</x:table>
</file>

<file path=xl/tables/table4.xml><?xml version="1.0" encoding="utf-8"?>
<x:table xmlns:x="http://schemas.openxmlformats.org/spreadsheetml/2006/main" id="4" name="OriginalQA37Table" displayName="OriginalQA37Table" ref="A3:F40" headerRowCount="1" totalsRowCount="0" totalsRowShown="0">
  <x:tableColumns count="6">
    <x:tableColumn id="1" name="QA ID"/>
    <x:tableColumn id="2" name="Source checkmark"/>
    <x:tableColumn id="3" name="Original task text (verbatim)"/>
    <x:tableColumn id="4" name="Expanded tasks"/>
    <x:tableColumn id="5" name="Current closure assessment"/>
    <x:tableColumn id="6" name="Source URL"/>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3:F66" headerRowCount="1" totalsRowCount="0" totalsRowShown="0">
  <x:tableColumns count="6">
    <x:tableColumn id="1" name="ID"/>
    <x:tableColumn id="2" name="Source"/>
    <x:tableColumn id="3" name="Type"/>
    <x:tableColumn id="4" name="What it supports / limitations"/>
    <x:tableColumn id="5" name="Source URL or evidence path"/>
    <x:tableColumn id="6" name="Checked date"/>
  </x:tableColumns>
  <x:tableStyleInfo name="TableStyleMedium2" showFirstColumn="0" showLastColumn="0" showRowStripes="1" showColumnStripes="0"/>
</x:table>
</file>

<file path=xl/tables/table6.xml><?xml version="1.0" encoding="utf-8"?>
<x:table xmlns:x="http://schemas.openxmlformats.org/spreadsheetml/2006/main" id="6" name="ReleaseGatesTable" displayName="ReleaseGatesTable" ref="A3:E13" headerRowCount="1" totalsRowCount="0" totalsRowShown="0">
  <x:tableColumns count="5">
    <x:tableColumn id="1" name="Gate"/>
    <x:tableColumn id="2" name="Purpose"/>
    <x:tableColumn id="3" name="Related tasks"/>
    <x:tableColumn id="4" name="Exit evidence"/>
    <x:tableColumn id="5" name="Current assessment"/>
  </x:tableColumns>
  <x:tableStyleInfo name="TableStyleMedium2" showFirstColumn="0" showLastColumn="0" showRowStripes="1" showColumnStripes="0"/>
</x:table>
</file>

<file path=xl/tables/table7.xml><?xml version="1.0" encoding="utf-8"?>
<x:table xmlns:x="http://schemas.openxmlformats.org/spreadsheetml/2006/main" id="7" name="ClubMatrixTable" displayName="ClubMatrixTable" ref="A3:F8" headerRowCount="1" totalsRowCount="0" totalsRowShown="0">
  <x:tableColumns count="6">
    <x:tableColumn id="1" name="Club"/>
    <x:tableColumn id="2" name="Country"/>
    <x:tableColumn id="3" name="Source tenant ID"/>
    <x:tableColumn id="4" name="Observed / reported state"/>
    <x:tableColumn id="5" name="Key distinction"/>
    <x:tableColumn id="6" name="Required club-specific closure"/>
  </x:tableColumns>
  <x:tableStyleInfo name="TableStyleMedium2" showFirstColumn="0" showLastColumn="0" showRowStripes="1" showColumnStripes="0"/>
</x:table>
</file>

<file path=xl/tables/table8.xml><?xml version="1.0" encoding="utf-8"?>
<x:table xmlns:x="http://schemas.openxmlformats.org/spreadsheetml/2006/main" id="8" name="AuditLimitsTable" displayName="AuditLimitsTable" ref="A3:B15" headerRowCount="1" totalsRowCount="0" totalsRowShown="0">
  <x:tableColumns count="2">
    <x:tableColumn id="1" name="Area"/>
    <x:tableColumn id="2" name="Bound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ec5cd055ef34967" /></Relationships>
</file>

<file path=xl/worksheets/_rels/sheet2.xml.rels>&#65279;<?xml version="1.0" encoding="utf-8"?><Relationships xmlns="http://schemas.openxmlformats.org/package/2006/relationships"><Relationship Type="http://schemas.openxmlformats.org/officeDocument/2006/relationships/table" Target="/xl/tables/table1.xml" Id="Ra319216f03a640ea" /></Relationships>
</file>

<file path=xl/worksheets/_rels/sheet3.xml.rels>&#65279;<?xml version="1.0" encoding="utf-8"?><Relationships xmlns="http://schemas.openxmlformats.org/package/2006/relationships"><Relationship Type="http://schemas.openxmlformats.org/officeDocument/2006/relationships/table" Target="/xl/tables/table2.xml" Id="Rd605410a86ec49ff" /></Relationships>
</file>

<file path=xl/worksheets/_rels/sheet4.xml.rels>&#65279;<?xml version="1.0" encoding="utf-8"?><Relationships xmlns="http://schemas.openxmlformats.org/package/2006/relationships"><Relationship Type="http://schemas.openxmlformats.org/officeDocument/2006/relationships/table" Target="/xl/tables/table3.xml" Id="Rf5f2bd023f9d40fb" /></Relationships>
</file>

<file path=xl/worksheets/_rels/sheet5.xml.rels>&#65279;<?xml version="1.0" encoding="utf-8"?><Relationships xmlns="http://schemas.openxmlformats.org/package/2006/relationships"><Relationship Type="http://schemas.openxmlformats.org/officeDocument/2006/relationships/table" Target="/xl/tables/table4.xml" Id="R3eed11fbfc554e0a" /></Relationships>
</file>

<file path=xl/worksheets/_rels/sheet6.xml.rels>&#65279;<?xml version="1.0" encoding="utf-8"?><Relationships xmlns="http://schemas.openxmlformats.org/package/2006/relationships"><Relationship Type="http://schemas.openxmlformats.org/officeDocument/2006/relationships/table" Target="/xl/tables/table5.xml" Id="Rd1faa2e0980e4c16" /></Relationships>
</file>

<file path=xl/worksheets/_rels/sheet7.xml.rels>&#65279;<?xml version="1.0" encoding="utf-8"?><Relationships xmlns="http://schemas.openxmlformats.org/package/2006/relationships"><Relationship Type="http://schemas.openxmlformats.org/officeDocument/2006/relationships/table" Target="/xl/tables/table6.xml" Id="Rea7c433ff6534e84" /></Relationships>
</file>

<file path=xl/worksheets/_rels/sheet8.xml.rels>&#65279;<?xml version="1.0" encoding="utf-8"?><Relationships xmlns="http://schemas.openxmlformats.org/package/2006/relationships"><Relationship Type="http://schemas.openxmlformats.org/officeDocument/2006/relationships/table" Target="/xl/tables/table7.xml" Id="R7fb54f5c99de4c71" /></Relationships>
</file>

<file path=xl/worksheets/_rels/sheet9.xml.rels>&#65279;<?xml version="1.0" encoding="utf-8"?><Relationships xmlns="http://schemas.openxmlformats.org/package/2006/relationships"><Relationship Type="http://schemas.openxmlformats.org/officeDocument/2006/relationships/table" Target="/xl/tables/table8.xml" Id="R9f62d0593a7543b4" /></Relationships>
</file>

<file path=xl/worksheets/sheet1.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4" customHeight="1">
      <x:c r="A1" s="48" t="str">
        <x:v>AFRICLUB | Production-readiness control register</x:v>
      </x:c>
      <x:c r="B1" s="48"/>
      <x:c r="C1" s="48"/>
      <x:c r="D1" s="48"/>
      <x:c r="E1" s="48"/>
      <x:c r="F1" s="48"/>
      <x:c r="G1" s="48"/>
      <x:c r="H1" s="48"/>
      <x:c r="I1" s="48"/>
      <x:c r="J1" s="48"/>
      <x:c r="K1" s="48"/>
      <x:c r="L1" s="48"/>
    </x:row>
    <x:row r="2" ht="24" customHeight="1">
      <x:c r="A2" s="48"/>
      <x:c r="B2" s="48"/>
      <x:c r="C2" s="48"/>
      <x:c r="D2" s="48"/>
      <x:c r="E2" s="48"/>
      <x:c r="F2" s="48"/>
      <x:c r="G2" s="48"/>
      <x:c r="H2" s="48"/>
      <x:c r="I2" s="48"/>
      <x:c r="J2" s="48"/>
      <x:c r="K2" s="48"/>
      <x:c r="L2" s="48"/>
    </x:row>
    <x:row r="3">
      <x:c r="A3" s="2"/>
      <x:c r="B3" s="2"/>
      <x:c r="C3" s="2"/>
      <x:c r="D3" s="2"/>
      <x:c r="E3" s="2"/>
      <x:c r="F3" s="2"/>
      <x:c r="G3" s="2"/>
      <x:c r="H3" s="2"/>
      <x:c r="I3" s="2"/>
      <x:c r="J3" s="2"/>
      <x:c r="K3" s="2"/>
      <x:c r="L3" s="2"/>
    </x:row>
    <x:row r="4" ht="24" customHeight="1">
      <x:c r="A4" s="50" t="str">
        <x:v>NO-GO: full five-club migrated production release</x:v>
      </x:c>
      <x:c r="B4" s="50"/>
      <x:c r="C4" s="50"/>
      <x:c r="D4" s="50"/>
      <x:c r="E4" s="50"/>
      <x:c r="F4" s="50"/>
      <x:c r="G4" s="50"/>
      <x:c r="H4" s="50"/>
      <x:c r="I4" s="50"/>
      <x:c r="J4" s="50"/>
      <x:c r="K4" s="50"/>
      <x:c r="L4" s="50"/>
    </x:row>
    <x:row r="5" ht="24" customHeight="1">
      <x:c r="A5" s="50"/>
      <x:c r="B5" s="50"/>
      <x:c r="C5" s="50"/>
      <x:c r="D5" s="50"/>
      <x:c r="E5" s="50"/>
      <x:c r="F5" s="50"/>
      <x:c r="G5" s="50"/>
      <x:c r="H5" s="50"/>
      <x:c r="I5" s="50"/>
      <x:c r="J5" s="50"/>
      <x:c r="K5" s="50"/>
      <x:c r="L5" s="50"/>
    </x:row>
    <x:row r="6">
      <x:c r="A6" s="2"/>
      <x:c r="B6" s="2"/>
      <x:c r="C6" s="2"/>
      <x:c r="D6" s="2"/>
      <x:c r="E6" s="2"/>
      <x:c r="F6" s="2"/>
      <x:c r="G6" s="2"/>
      <x:c r="H6" s="2"/>
      <x:c r="I6" s="2"/>
      <x:c r="J6" s="2"/>
      <x:c r="K6" s="2"/>
      <x:c r="L6" s="2"/>
    </x:row>
    <x:row r="7" ht="25" customHeight="1">
      <x:c r="A7" s="52" t="str">
        <x:v>27 September 2026 • Current source, metadata, dated evidence and isolated tests. Priority 0: restrict anonymous write access and re-establish trusted source. No production actions performed.</x:v>
      </x:c>
      <x:c r="B7" s="52"/>
      <x:c r="C7" s="52"/>
      <x:c r="D7" s="52"/>
      <x:c r="E7" s="52"/>
      <x:c r="F7" s="52"/>
      <x:c r="G7" s="52"/>
      <x:c r="H7" s="52"/>
      <x:c r="I7" s="52"/>
      <x:c r="J7" s="52"/>
      <x:c r="K7" s="52"/>
      <x:c r="L7" s="52"/>
    </x:row>
    <x:row r="8" ht="25" customHeight="1">
      <x:c r="A8" s="52"/>
      <x:c r="B8" s="52"/>
      <x:c r="C8" s="52"/>
      <x:c r="D8" s="52"/>
      <x:c r="E8" s="52"/>
      <x:c r="F8" s="52"/>
      <x:c r="G8" s="52"/>
      <x:c r="H8" s="52"/>
      <x:c r="I8" s="52"/>
      <x:c r="J8" s="52"/>
      <x:c r="K8" s="52"/>
      <x:c r="L8" s="52"/>
    </x:row>
    <x:row r="9">
      <x:c r="A9" s="2"/>
      <x:c r="B9" s="2"/>
      <x:c r="C9" s="2"/>
      <x:c r="D9" s="2"/>
      <x:c r="E9" s="2"/>
      <x:c r="F9" s="2"/>
      <x:c r="G9" s="2"/>
      <x:c r="H9" s="2"/>
      <x:c r="I9" s="2"/>
      <x:c r="J9" s="2"/>
      <x:c r="K9" s="2"/>
      <x:c r="L9" s="2"/>
    </x:row>
    <x:row r="10" ht="30" customHeight="1">
      <x:c r="A10" s="19" t="str">
        <x:v>Identified tasks</x:v>
      </x:c>
      <x:c r="B10" s="54" t="n">
        <x:f>COUNTA(Tasks!A4:A151)</x:f>
        <x:v>148</x:v>
      </x:c>
      <x:c r="C10" s="19" t="str">
        <x:v>Verified tasks</x:v>
      </x:c>
      <x:c r="D10" s="54" t="n">
        <x:f>COUNTIF(Tasks!E4:E151,"Verified")</x:f>
        <x:v>0</x:v>
      </x:c>
      <x:c r="E10" s="2"/>
      <x:c r="F10" s="26" t="str">
        <x:v>A 'Verified' task requires linked, final-candidate evidence and an accountable reviewer. Historical checkmarks and archived test totals are not current production approval.</x:v>
      </x:c>
      <x:c r="G10" s="26"/>
      <x:c r="H10" s="26"/>
      <x:c r="I10" s="26"/>
      <x:c r="J10" s="26"/>
      <x:c r="K10" s="26"/>
      <x:c r="L10" s="26"/>
    </x:row>
    <x:row r="11" ht="30" customHeight="1">
      <x:c r="A11" s="19" t="str">
        <x:v>Original QA items</x:v>
      </x:c>
      <x:c r="B11" s="54" t="n">
        <x:f>COUNTA(OriginalQA37!A4:A40)</x:f>
        <x:v>37</x:v>
      </x:c>
      <x:c r="C11" s="19" t="str">
        <x:v>Source checked</x:v>
      </x:c>
      <x:c r="D11" s="54" t="n">
        <x:f>COUNTIF(OriginalQA37!B4:B40,"Checked in source")</x:f>
        <x:v>3</x:v>
      </x:c>
      <x:c r="E11" s="2"/>
      <x:c r="F11" s="26"/>
      <x:c r="G11" s="26"/>
      <x:c r="H11" s="26"/>
      <x:c r="I11" s="26"/>
      <x:c r="J11" s="26"/>
      <x:c r="K11" s="26"/>
      <x:c r="L11" s="26"/>
    </x:row>
    <x:row r="12" ht="30" customHeight="1">
      <x:c r="A12" s="19" t="str">
        <x:v>Current findings</x:v>
      </x:c>
      <x:c r="B12" s="54" t="n">
        <x:f>COUNTA(Findings!A4:A23)</x:f>
        <x:v>20</x:v>
      </x:c>
      <x:c r="C12" s="19" t="str">
        <x:v>Evidence references</x:v>
      </x:c>
      <x:c r="D12" s="54" t="n">
        <x:f>COUNTA(Sources!A4:A66)</x:f>
        <x:v>63</x:v>
      </x:c>
      <x:c r="E12" s="2"/>
      <x:c r="F12" s="26"/>
      <x:c r="G12" s="26"/>
      <x:c r="H12" s="26"/>
      <x:c r="I12" s="26"/>
      <x:c r="J12" s="26"/>
      <x:c r="K12" s="26"/>
      <x:c r="L12" s="26"/>
    </x:row>
    <x:row r="13">
      <x:c r="A13" s="2"/>
      <x:c r="B13" s="2"/>
      <x:c r="C13" s="2"/>
      <x:c r="D13" s="2"/>
      <x:c r="E13" s="2"/>
      <x:c r="F13" s="2"/>
      <x:c r="G13" s="2"/>
      <x:c r="H13" s="2"/>
      <x:c r="I13" s="2"/>
      <x:c r="J13" s="2"/>
      <x:c r="K13" s="2"/>
      <x:c r="L13" s="2"/>
    </x:row>
    <x:row r="14">
      <x:c r="A14" s="2"/>
      <x:c r="B14" s="2"/>
      <x:c r="C14" s="2"/>
      <x:c r="D14" s="2"/>
      <x:c r="E14" s="2"/>
      <x:c r="F14" s="2"/>
      <x:c r="G14" s="2"/>
      <x:c r="H14" s="2"/>
      <x:c r="I14" s="2"/>
      <x:c r="J14" s="2"/>
      <x:c r="K14" s="2"/>
      <x:c r="L14" s="2"/>
    </x:row>
    <x:row r="15">
      <x:c r="A15" s="31" t="str">
        <x:v>Priority</x:v>
      </x:c>
      <x:c r="B15" s="31" t="str">
        <x:v>Tasks</x:v>
      </x:c>
      <x:c r="C15" s="2"/>
      <x:c r="D15" s="2"/>
      <x:c r="E15" s="2"/>
      <x:c r="F15" s="2"/>
      <x:c r="G15" s="2"/>
      <x:c r="H15" s="2"/>
      <x:c r="I15" s="2"/>
      <x:c r="J15" s="2"/>
      <x:c r="K15" s="2"/>
      <x:c r="L15" s="2"/>
    </x:row>
    <x:row r="16">
      <x:c r="A16" s="2" t="str">
        <x:v>P0</x:v>
      </x:c>
      <x:c r="B16" s="2" t="n">
        <x:f>COUNTIF(Tasks!B4:B151,A16)</x:f>
        <x:v>6</x:v>
      </x:c>
      <x:c r="C16" s="2"/>
      <x:c r="D16" s="2"/>
      <x:c r="E16" s="2"/>
      <x:c r="F16" s="2"/>
      <x:c r="G16" s="2"/>
      <x:c r="H16" s="2"/>
      <x:c r="I16" s="2"/>
      <x:c r="J16" s="2"/>
      <x:c r="K16" s="2"/>
      <x:c r="L16" s="2"/>
    </x:row>
    <x:row r="17">
      <x:c r="A17" s="2" t="str">
        <x:v>P1</x:v>
      </x:c>
      <x:c r="B17" s="2" t="n">
        <x:f>COUNTIF(Tasks!B4:B151,A17)</x:f>
        <x:v>133</x:v>
      </x:c>
      <x:c r="C17" s="2"/>
      <x:c r="D17" s="2"/>
      <x:c r="E17" s="2"/>
      <x:c r="F17" s="2"/>
      <x:c r="G17" s="2"/>
      <x:c r="H17" s="2"/>
      <x:c r="I17" s="2"/>
      <x:c r="J17" s="2"/>
      <x:c r="K17" s="2"/>
      <x:c r="L17" s="2"/>
    </x:row>
    <x:row r="18">
      <x:c r="A18" s="2" t="str">
        <x:v>P2</x:v>
      </x:c>
      <x:c r="B18" s="2" t="n">
        <x:f>COUNTIF(Tasks!B4:B151,A18)</x:f>
        <x:v>9</x:v>
      </x:c>
      <x:c r="C18" s="2"/>
      <x:c r="D18" s="2"/>
      <x:c r="E18" s="2"/>
      <x:c r="F18" s="2"/>
      <x:c r="G18" s="2"/>
      <x:c r="H18" s="2"/>
      <x:c r="I18" s="2"/>
      <x:c r="J18" s="2"/>
      <x:c r="K18" s="2"/>
      <x:c r="L18" s="2"/>
    </x:row>
    <x:row r="19">
      <x:c r="A19" s="2"/>
      <x:c r="B19" s="2"/>
      <x:c r="C19" s="2"/>
      <x:c r="D19" s="2"/>
      <x:c r="E19" s="2"/>
      <x:c r="F19" s="2"/>
      <x:c r="G19" s="2"/>
      <x:c r="H19" s="2"/>
      <x:c r="I19" s="2"/>
      <x:c r="J19" s="2"/>
      <x:c r="K19" s="2"/>
      <x:c r="L19" s="2"/>
    </x:row>
    <x:row r="20">
      <x:c r="A20" s="2"/>
      <x:c r="B20" s="2"/>
      <x:c r="C20" s="2"/>
      <x:c r="D20" s="2"/>
      <x:c r="E20" s="2"/>
      <x:c r="F20" s="2"/>
      <x:c r="G20" s="2"/>
      <x:c r="H20" s="2"/>
      <x:c r="I20" s="2"/>
      <x:c r="J20" s="2"/>
      <x:c r="K20" s="2"/>
      <x:c r="L20" s="2"/>
    </x:row>
    <x:row r="21">
      <x:c r="A21" s="2" t="str">
        <x:v>Workstream coverage</x:v>
      </x:c>
      <x:c r="B21" s="2"/>
      <x:c r="C21" s="2"/>
      <x:c r="D21" s="2"/>
      <x:c r="E21" s="2"/>
      <x:c r="F21" s="2"/>
      <x:c r="G21" s="2"/>
      <x:c r="H21" s="2"/>
      <x:c r="I21" s="2"/>
      <x:c r="J21" s="2"/>
      <x:c r="K21" s="2"/>
      <x:c r="L21" s="2"/>
    </x:row>
    <x:row r="22" ht="30" customHeight="1">
      <x:c r="A22" s="34" t="str">
        <x:v>Security containment</x:v>
      </x:c>
      <x:c r="B22" s="34"/>
      <x:c r="C22" s="34"/>
      <x:c r="D22" s="34" t="n">
        <x:f>COUNTIF(Tasks!C4:C151,A22)</x:f>
        <x:v>8</x:v>
      </x:c>
      <x:c r="E22" s="2"/>
      <x:c r="F22" s="2"/>
      <x:c r="G22" s="2"/>
      <x:c r="H22" s="2"/>
      <x:c r="I22" s="2"/>
      <x:c r="J22" s="2"/>
      <x:c r="K22" s="2"/>
      <x:c r="L22" s="2"/>
    </x:row>
    <x:row r="23" ht="30" customHeight="1">
      <x:c r="A23" s="34" t="str">
        <x:v>Source convergence and architecture</x:v>
      </x:c>
      <x:c r="B23" s="34"/>
      <x:c r="C23" s="34"/>
      <x:c r="D23" s="34" t="n">
        <x:f>COUNTIF(Tasks!C4:C151,A23)</x:f>
        <x:v>10</x:v>
      </x:c>
      <x:c r="E23" s="2"/>
      <x:c r="F23" s="2"/>
      <x:c r="G23" s="2"/>
      <x:c r="H23" s="2"/>
      <x:c r="I23" s="2"/>
      <x:c r="J23" s="2"/>
      <x:c r="K23" s="2"/>
      <x:c r="L23" s="2"/>
    </x:row>
    <x:row r="24" ht="30" customHeight="1">
      <x:c r="A24" s="34" t="str">
        <x:v>Build and supply-chain gates</x:v>
      </x:c>
      <x:c r="B24" s="34"/>
      <x:c r="C24" s="34"/>
      <x:c r="D24" s="34" t="n">
        <x:f>COUNTIF(Tasks!C4:C151,A24)</x:f>
        <x:v>10</x:v>
      </x:c>
      <x:c r="E24" s="2"/>
      <x:c r="F24" s="2"/>
      <x:c r="G24" s="2"/>
      <x:c r="H24" s="2"/>
      <x:c r="I24" s="2"/>
      <x:c r="J24" s="2"/>
      <x:c r="K24" s="2"/>
      <x:c r="L24" s="2"/>
    </x:row>
    <x:row r="25" ht="30" customHeight="1">
      <x:c r="A25" s="34" t="str">
        <x:v>Identity and authorization</x:v>
      </x:c>
      <x:c r="B25" s="34"/>
      <x:c r="C25" s="34"/>
      <x:c r="D25" s="34" t="n">
        <x:f>COUNTIF(Tasks!C4:C151,A25)</x:f>
        <x:v>12</x:v>
      </x:c>
      <x:c r="E25" s="2"/>
      <x:c r="F25" s="2"/>
      <x:c r="G25" s="2"/>
      <x:c r="H25" s="2"/>
      <x:c r="I25" s="2"/>
      <x:c r="J25" s="2"/>
      <x:c r="K25" s="2"/>
      <x:c r="L25" s="2"/>
    </x:row>
    <x:row r="26" ht="30" customHeight="1">
      <x:c r="A26" s="34" t="str">
        <x:v>Payment evidence and recovery</x:v>
      </x:c>
      <x:c r="B26" s="34"/>
      <x:c r="C26" s="34"/>
      <x:c r="D26" s="34" t="n">
        <x:f>COUNTIF(Tasks!C4:C151,A26)</x:f>
        <x:v>12</x:v>
      </x:c>
      <x:c r="E26" s="2"/>
      <x:c r="F26" s="2"/>
      <x:c r="G26" s="2"/>
      <x:c r="H26" s="2"/>
      <x:c r="I26" s="2"/>
      <x:c r="J26" s="2"/>
      <x:c r="K26" s="2"/>
      <x:c r="L26" s="2"/>
    </x:row>
    <x:row r="27" ht="30" customHeight="1">
      <x:c r="A27" s="34" t="str">
        <x:v>Complete retained business domains</x:v>
      </x:c>
      <x:c r="B27" s="34"/>
      <x:c r="C27" s="34"/>
      <x:c r="D27" s="34" t="n">
        <x:f>COUNTIF(Tasks!C4:C151,A27)</x:f>
        <x:v>12</x:v>
      </x:c>
      <x:c r="E27" s="2"/>
      <x:c r="F27" s="2"/>
      <x:c r="G27" s="2"/>
      <x:c r="H27" s="2"/>
      <x:c r="I27" s="2"/>
      <x:c r="J27" s="2"/>
      <x:c r="K27" s="2"/>
      <x:c r="L27" s="2"/>
    </x:row>
    <x:row r="28" ht="30" customHeight="1">
      <x:c r="A28" s="34" t="str">
        <x:v>Data migration and recovery</x:v>
      </x:c>
      <x:c r="B28" s="34"/>
      <x:c r="C28" s="34"/>
      <x:c r="D28" s="34" t="n">
        <x:f>COUNTIF(Tasks!C4:C151,A28)</x:f>
        <x:v>12</x:v>
      </x:c>
      <x:c r="E28" s="2"/>
      <x:c r="F28" s="2"/>
      <x:c r="G28" s="2"/>
      <x:c r="H28" s="2"/>
      <x:c r="I28" s="2"/>
      <x:c r="J28" s="2"/>
      <x:c r="K28" s="2"/>
      <x:c r="L28" s="2"/>
    </x:row>
    <x:row r="29" ht="25" customHeight="1">
      <x:c r="A29" s="34" t="str">
        <x:v>Public content and publishing</x:v>
      </x:c>
      <x:c r="B29" s="34"/>
      <x:c r="C29" s="34"/>
      <x:c r="D29" s="34" t="n">
        <x:f>COUNTIF(Tasks!C4:C151,A29)</x:f>
        <x:v>10</x:v>
      </x:c>
      <x:c r="E29" s="2"/>
      <x:c r="F29" s="36" t="str">
        <x:v>START HERE
SEC01–SEC05 + SRC01: contain access and trust source.
SRC02–SRC06 + CI01–CI05: converge files and gates.
Then prove the agreed end-to-end pilot, data recovery, country obligations and actual device/provider acceptance.</x:v>
      </x:c>
      <x:c r="G29" s="36"/>
      <x:c r="H29" s="36"/>
      <x:c r="I29" s="36"/>
      <x:c r="J29" s="36"/>
      <x:c r="K29" s="36"/>
      <x:c r="L29" s="36"/>
    </x:row>
    <x:row r="30" ht="25" customHeight="1">
      <x:c r="A30" s="34" t="str">
        <x:v>Native apps and platform completion</x:v>
      </x:c>
      <x:c r="B30" s="34"/>
      <x:c r="C30" s="34"/>
      <x:c r="D30" s="34" t="n">
        <x:f>COUNTIF(Tasks!C4:C151,A30)</x:f>
        <x:v>12</x:v>
      </x:c>
      <x:c r="E30" s="2"/>
      <x:c r="F30" s="36"/>
      <x:c r="G30" s="36"/>
      <x:c r="H30" s="36"/>
      <x:c r="I30" s="36"/>
      <x:c r="J30" s="36"/>
      <x:c r="K30" s="36"/>
      <x:c r="L30" s="36"/>
    </x:row>
    <x:row r="31" ht="25" customHeight="1">
      <x:c r="A31" s="34" t="str">
        <x:v>Web and admin PWA</x:v>
      </x:c>
      <x:c r="B31" s="34"/>
      <x:c r="C31" s="34"/>
      <x:c r="D31" s="34" t="n">
        <x:f>COUNTIF(Tasks!C4:C151,A31)</x:f>
        <x:v>10</x:v>
      </x:c>
      <x:c r="E31" s="2"/>
      <x:c r="F31" s="36"/>
      <x:c r="G31" s="36"/>
      <x:c r="H31" s="36"/>
      <x:c r="I31" s="36"/>
      <x:c r="J31" s="36"/>
      <x:c r="K31" s="36"/>
      <x:c r="L31" s="36"/>
    </x:row>
    <x:row r="32" ht="25" customHeight="1">
      <x:c r="A32" s="34" t="str">
        <x:v>Design, content and accessibility</x:v>
      </x:c>
      <x:c r="B32" s="34"/>
      <x:c r="C32" s="34"/>
      <x:c r="D32" s="34" t="n">
        <x:f>COUNTIF(Tasks!C4:C151,A32)</x:f>
        <x:v>8</x:v>
      </x:c>
      <x:c r="E32" s="2"/>
      <x:c r="F32" s="36"/>
      <x:c r="G32" s="36"/>
      <x:c r="H32" s="36"/>
      <x:c r="I32" s="36"/>
      <x:c r="J32" s="36"/>
      <x:c r="K32" s="36"/>
      <x:c r="L32" s="36"/>
    </x:row>
    <x:row r="33" ht="25" customHeight="1">
      <x:c r="A33" s="34" t="str">
        <x:v>Country, commercial and platform compliance</x:v>
      </x:c>
      <x:c r="B33" s="34"/>
      <x:c r="C33" s="34"/>
      <x:c r="D33" s="34" t="n">
        <x:f>COUNTIF(Tasks!C4:C151,A33)</x:f>
        <x:v>12</x:v>
      </x:c>
      <x:c r="E33" s="2"/>
      <x:c r="F33" s="36"/>
      <x:c r="G33" s="36"/>
      <x:c r="H33" s="36"/>
      <x:c r="I33" s="36"/>
      <x:c r="J33" s="36"/>
      <x:c r="K33" s="36"/>
      <x:c r="L33" s="36"/>
    </x:row>
    <x:row r="34" ht="25" customHeight="1">
      <x:c r="A34" s="34" t="str">
        <x:v>Reliability and operational readiness</x:v>
      </x:c>
      <x:c r="B34" s="34"/>
      <x:c r="C34" s="34"/>
      <x:c r="D34" s="34" t="n">
        <x:f>COUNTIF(Tasks!C4:C151,A34)</x:f>
        <x:v>10</x:v>
      </x:c>
      <x:c r="E34" s="2"/>
      <x:c r="F34" s="36"/>
      <x:c r="G34" s="36"/>
      <x:c r="H34" s="36"/>
      <x:c r="I34" s="36"/>
      <x:c r="J34" s="36"/>
      <x:c r="K34" s="36"/>
      <x:c r="L34" s="36"/>
    </x:row>
    <x:row r="35" ht="25" customHeight="1">
      <x:c r="A35" s="34" t="str">
        <x:v>Release acceptance and cutover</x:v>
      </x:c>
      <x:c r="B35" s="34"/>
      <x:c r="C35" s="34"/>
      <x:c r="D35" s="34" t="n">
        <x:f>COUNTIF(Tasks!C4:C151,A35)</x:f>
        <x:v>10</x:v>
      </x:c>
      <x:c r="E35" s="2"/>
      <x:c r="F35" s="36"/>
      <x:c r="G35" s="36"/>
      <x:c r="H35" s="36"/>
      <x:c r="I35" s="36"/>
      <x:c r="J35" s="36"/>
      <x:c r="K35" s="36"/>
      <x:c r="L35" s="36"/>
    </x:row>
    <x:row r="36">
      <x:c r="A36" s="2"/>
      <x:c r="B36" s="2"/>
      <x:c r="C36" s="2"/>
      <x:c r="D36" s="2"/>
      <x:c r="E36" s="2"/>
      <x:c r="F36" s="2"/>
      <x:c r="G36" s="2"/>
      <x:c r="H36" s="2"/>
      <x:c r="I36" s="2"/>
      <x:c r="J36" s="2"/>
      <x:c r="K36" s="2"/>
      <x:c r="L36" s="2"/>
    </x:row>
    <x:row r="37">
      <x:c r="A37" s="2"/>
      <x:c r="B37" s="2"/>
      <x:c r="C37" s="2"/>
      <x:c r="D37" s="2"/>
      <x:c r="E37" s="2"/>
      <x:c r="F37" s="2"/>
      <x:c r="G37" s="2"/>
      <x:c r="H37" s="2"/>
      <x:c r="I37" s="2"/>
      <x:c r="J37" s="2"/>
      <x:c r="K37" s="2"/>
      <x:c r="L37" s="2"/>
    </x:row>
    <x:row r="38" ht="22" customHeight="1">
      <x:c r="A38" s="34" t="str">
        <x:v>Scope: all tasks identified in this targeted audit, including finishing the route/object inventories. This is not an exhaustive pentest, a fresh whole-repository build, or a complete five-country legal opinion. Recommended roles are not assigned people.</x:v>
      </x:c>
      <x:c r="B38" s="34"/>
      <x:c r="C38" s="34"/>
      <x:c r="D38" s="34"/>
      <x:c r="E38" s="34"/>
      <x:c r="F38" s="34"/>
      <x:c r="G38" s="34"/>
      <x:c r="H38" s="34"/>
      <x:c r="I38" s="34"/>
      <x:c r="J38" s="34"/>
      <x:c r="K38" s="34"/>
      <x:c r="L38" s="34"/>
    </x:row>
    <x:row r="39" ht="22" customHeight="1">
      <x:c r="A39" s="34"/>
      <x:c r="B39" s="34"/>
      <x:c r="C39" s="34"/>
      <x:c r="D39" s="34"/>
      <x:c r="E39" s="34"/>
      <x:c r="F39" s="34"/>
      <x:c r="G39" s="34"/>
      <x:c r="H39" s="34"/>
      <x:c r="I39" s="34"/>
      <x:c r="J39" s="34"/>
      <x:c r="K39" s="34"/>
      <x:c r="L39" s="34"/>
    </x:row>
    <x:row r="40" ht="22" customHeight="1">
      <x:c r="A40" s="34"/>
      <x:c r="B40" s="34"/>
      <x:c r="C40" s="34"/>
      <x:c r="D40" s="34"/>
      <x:c r="E40" s="34"/>
      <x:c r="F40" s="34"/>
      <x:c r="G40" s="34"/>
      <x:c r="H40" s="34"/>
      <x:c r="I40" s="34"/>
      <x:c r="J40" s="34"/>
      <x:c r="K40" s="34"/>
      <x:c r="L40" s="34"/>
    </x:row>
    <x:row r="41">
      <x:c r="A41" s="2"/>
      <x:c r="B41" s="2"/>
      <x:c r="C41" s="2"/>
      <x:c r="D41" s="2"/>
      <x:c r="E41" s="2"/>
      <x:c r="F41" s="2"/>
      <x:c r="G41" s="2"/>
      <x:c r="H41" s="2"/>
      <x:c r="I41" s="2"/>
      <x:c r="J41" s="2"/>
      <x:c r="K41" s="2"/>
      <x:c r="L41" s="2"/>
    </x:row>
    <x:row r="42">
      <x:c r="A42" s="2"/>
      <x:c r="B42" s="2"/>
      <x:c r="C42" s="2"/>
      <x:c r="D42" s="2"/>
      <x:c r="E42" s="2"/>
      <x:c r="F42" s="2"/>
      <x:c r="G42" s="2"/>
      <x:c r="H42" s="2"/>
      <x:c r="I42" s="2"/>
      <x:c r="J42" s="2"/>
      <x:c r="K42" s="2"/>
      <x:c r="L42" s="2"/>
    </x:row>
  </x:sheetData>
  <x:mergeCells>
    <x:mergeCell ref="A1:L2"/>
    <x:mergeCell ref="A4:L5"/>
    <x:mergeCell ref="A7:L8"/>
    <x:mergeCell ref="F10:L12"/>
    <x:mergeCell ref="A21:D21"/>
    <x:mergeCell ref="A22:C22"/>
    <x:mergeCell ref="A23:C23"/>
    <x:mergeCell ref="A24:C24"/>
    <x:mergeCell ref="A25:C25"/>
    <x:mergeCell ref="A26:C26"/>
    <x:mergeCell ref="A27:C27"/>
    <x:mergeCell ref="A28:C28"/>
    <x:mergeCell ref="A29:C29"/>
    <x:mergeCell ref="A30:C30"/>
    <x:mergeCell ref="A31:C31"/>
    <x:mergeCell ref="A32:C32"/>
    <x:mergeCell ref="A33:C33"/>
    <x:mergeCell ref="A34:C34"/>
    <x:mergeCell ref="A35:C35"/>
    <x:mergeCell ref="F29:L35"/>
    <x:mergeCell ref="A38:L40"/>
  </x:mergeCells>
  <x:pageMargins left="0.7" right="0.7" top="0.75" bottom="0.75" header="0.3" footer="0.3"/>
  <x:drawing xmlns:r="http://schemas.openxmlformats.org/officeDocument/2006/relationships" r:id="R0ec5cd055ef34967"/>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34" hidden="0" customWidth="1"/>
    <x:col min="4" max="4" width="40" hidden="0" customWidth="1"/>
    <x:col min="5" max="5" width="27" hidden="0" customWidth="1"/>
    <x:col min="6" max="6" width="34" hidden="0" customWidth="1"/>
    <x:col min="7" max="7" width="32" hidden="0" customWidth="1"/>
    <x:col min="8" max="8" width="30" hidden="0" customWidth="1"/>
  </x:cols>
  <x:sheetData>
    <x:row r="1" ht="32" customHeight="1">
      <x:c r="A1" s="39" t="str">
        <x:v>148 tasks | proposed owners, priorities and dependencies</x:v>
      </x:c>
      <x:c r="B1" s="39"/>
      <x:c r="C1" s="39"/>
      <x:c r="D1" s="39"/>
      <x:c r="E1" s="39"/>
      <x:c r="F1" s="39"/>
      <x:c r="G1" s="39"/>
      <x:c r="H1" s="39"/>
    </x:row>
    <x:row r="3" ht="30" customHeight="1">
      <x:c r="A3" s="43" t="str">
        <x:v>ID</x:v>
      </x:c>
      <x:c r="B3" s="43" t="str">
        <x:v>Priority</x:v>
      </x:c>
      <x:c r="C3" s="43" t="str">
        <x:v>Workstream</x:v>
      </x:c>
      <x:c r="D3" s="43" t="str">
        <x:v>Task</x:v>
      </x:c>
      <x:c r="E3" s="43" t="str">
        <x:v>Status</x:v>
      </x:c>
      <x:c r="F3" s="43" t="str">
        <x:v>Recommended owner role</x:v>
      </x:c>
      <x:c r="G3" s="43" t="str">
        <x:v>Dependencies</x:v>
      </x:c>
      <x:c r="H3" s="43" t="str">
        <x:v>Release gate</x:v>
      </x:c>
    </x:row>
    <x:row r="4" ht="48" customHeight="1">
      <x:c r="A4" s="46" t="str">
        <x:v>SEC01</x:v>
      </x:c>
      <x:c r="B4" s="46" t="str">
        <x:v>P0</x:v>
      </x:c>
      <x:c r="C4" s="46" t="str">
        <x:v>Security containment</x:v>
      </x:c>
      <x:c r="D4" s="46" t="str">
        <x:v>Restrict public-write access</x:v>
      </x:c>
      <x:c r="E4" s="46" t="str">
        <x:v>Open - verify or implement</x:v>
      </x:c>
      <x:c r="F4" s="46" t="str">
        <x:v>Security lead + Drive owner</x:v>
      </x:c>
      <x:c r="G4" s="46" t="str"/>
      <x:c r="H4" s="46" t="str">
        <x:v>G0 Contain</x:v>
      </x:c>
    </x:row>
    <x:row r="5" ht="48" customHeight="1">
      <x:c r="A5" s="46" t="str">
        <x:v>SEC02</x:v>
      </x:c>
      <x:c r="B5" s="46" t="str">
        <x:v>P0</x:v>
      </x:c>
      <x:c r="C5" s="46" t="str">
        <x:v>Security containment</x:v>
      </x:c>
      <x:c r="D5" s="46" t="str">
        <x:v>Investigate potential exposure</x:v>
      </x:c>
      <x:c r="E5" s="46" t="str">
        <x:v>Open - verify or implement</x:v>
      </x:c>
      <x:c r="F5" s="46" t="str">
        <x:v>Security lead + Drive owner</x:v>
      </x:c>
      <x:c r="G5" s="46" t="str">
        <x:v>SEC01</x:v>
      </x:c>
      <x:c r="H5" s="46" t="str">
        <x:v>G0 Contain</x:v>
      </x:c>
    </x:row>
    <x:row r="6" ht="48" customHeight="1">
      <x:c r="A6" s="46" t="str">
        <x:v>SEC03</x:v>
      </x:c>
      <x:c r="B6" s="46" t="str">
        <x:v>P0</x:v>
      </x:c>
      <x:c r="C6" s="46" t="str">
        <x:v>Security containment</x:v>
      </x:c>
      <x:c r="D6" s="46" t="str">
        <x:v>Revoke affected service credentials</x:v>
      </x:c>
      <x:c r="E6" s="46" t="str">
        <x:v>Open - verify or implement</x:v>
      </x:c>
      <x:c r="F6" s="46" t="str">
        <x:v>Security lead + Drive owner</x:v>
      </x:c>
      <x:c r="G6" s="46" t="str">
        <x:v>SEC02</x:v>
      </x:c>
      <x:c r="H6" s="46" t="str">
        <x:v>G0 Contain</x:v>
      </x:c>
    </x:row>
    <x:row r="7" ht="48" customHeight="1">
      <x:c r="A7" s="46" t="str">
        <x:v>SEC04</x:v>
      </x:c>
      <x:c r="B7" s="46" t="str">
        <x:v>P0</x:v>
      </x:c>
      <x:c r="C7" s="46" t="str">
        <x:v>Security containment</x:v>
      </x:c>
      <x:c r="D7" s="46" t="str">
        <x:v>Protect signing identity</x:v>
      </x:c>
      <x:c r="E7" s="46" t="str">
        <x:v>Open - verify or implement</x:v>
      </x:c>
      <x:c r="F7" s="46" t="str">
        <x:v>Security lead + Drive owner</x:v>
      </x:c>
      <x:c r="G7" s="46" t="str">
        <x:v>SEC02</x:v>
      </x:c>
      <x:c r="H7" s="46" t="str">
        <x:v>G0 Contain</x:v>
      </x:c>
    </x:row>
    <x:row r="8" ht="48" customHeight="1">
      <x:c r="A8" s="46" t="str">
        <x:v>SEC05</x:v>
      </x:c>
      <x:c r="B8" s="46" t="str">
        <x:v>P0</x:v>
      </x:c>
      <x:c r="C8" s="46" t="str">
        <x:v>Security containment</x:v>
      </x:c>
      <x:c r="D8" s="46" t="str">
        <x:v>Re-establish trusted source integrity</x:v>
      </x:c>
      <x:c r="E8" s="46" t="str">
        <x:v>Open - verify or implement</x:v>
      </x:c>
      <x:c r="F8" s="46" t="str">
        <x:v>Security lead + Drive owner</x:v>
      </x:c>
      <x:c r="G8" s="46" t="str">
        <x:v>SEC01,SEC02</x:v>
      </x:c>
      <x:c r="H8" s="46" t="str">
        <x:v>G0 Contain</x:v>
      </x:c>
    </x:row>
    <x:row r="9" ht="48" customHeight="1">
      <x:c r="A9" s="46" t="str">
        <x:v>SEC06</x:v>
      </x:c>
      <x:c r="B9" s="46" t="str">
        <x:v>P1</x:v>
      </x:c>
      <x:c r="C9" s="46" t="str">
        <x:v>Security containment</x:v>
      </x:c>
      <x:c r="D9" s="46" t="str">
        <x:v>Separate secret and recovery storage</x:v>
      </x:c>
      <x:c r="E9" s="46" t="str">
        <x:v>Open - verify or implement</x:v>
      </x:c>
      <x:c r="F9" s="46" t="str">
        <x:v>Security lead + Drive owner</x:v>
      </x:c>
      <x:c r="G9" s="46" t="str">
        <x:v>SEC03,SEC04</x:v>
      </x:c>
      <x:c r="H9" s="46" t="str">
        <x:v>G0 Contain</x:v>
      </x:c>
    </x:row>
    <x:row r="10" ht="48" customHeight="1">
      <x:c r="A10" s="46" t="str">
        <x:v>SEC07</x:v>
      </x:c>
      <x:c r="B10" s="46" t="str">
        <x:v>P1</x:v>
      </x:c>
      <x:c r="C10" s="46" t="str">
        <x:v>Security containment</x:v>
      </x:c>
      <x:c r="D10" s="46" t="str">
        <x:v>Scan source and history</x:v>
      </x:c>
      <x:c r="E10" s="46" t="str">
        <x:v>Open - verify or implement</x:v>
      </x:c>
      <x:c r="F10" s="46" t="str">
        <x:v>Security lead + Drive owner</x:v>
      </x:c>
      <x:c r="G10" s="46" t="str">
        <x:v>SEC05,SEC06</x:v>
      </x:c>
      <x:c r="H10" s="46" t="str">
        <x:v>G0 Contain</x:v>
      </x:c>
    </x:row>
    <x:row r="11" ht="48" customHeight="1">
      <x:c r="A11" s="46" t="str">
        <x:v>SEC08</x:v>
      </x:c>
      <x:c r="B11" s="46" t="str">
        <x:v>P1</x:v>
      </x:c>
      <x:c r="C11" s="46" t="str">
        <x:v>Security containment</x:v>
      </x:c>
      <x:c r="D11" s="46" t="str">
        <x:v>Harden collaborator governance</x:v>
      </x:c>
      <x:c r="E11" s="46" t="str">
        <x:v>Open - verify or implement</x:v>
      </x:c>
      <x:c r="F11" s="46" t="str">
        <x:v>Security lead + Drive owner</x:v>
      </x:c>
      <x:c r="G11" s="46" t="str">
        <x:v>SEC01</x:v>
      </x:c>
      <x:c r="H11" s="46" t="str">
        <x:v>G0 Contain</x:v>
      </x:c>
    </x:row>
    <x:row r="12" ht="48" customHeight="1">
      <x:c r="A12" s="46" t="str">
        <x:v>SRC01</x:v>
      </x:c>
      <x:c r="B12" s="46" t="str">
        <x:v>P0</x:v>
      </x:c>
      <x:c r="C12" s="46" t="str">
        <x:v>Source convergence and architecture</x:v>
      </x:c>
      <x:c r="D12" s="46" t="str">
        <x:v>Create canonical release checkout</x:v>
      </x:c>
      <x:c r="E12" s="46" t="str">
        <x:v>Open - verify or implement</x:v>
      </x:c>
      <x:c r="F12" s="46" t="str">
        <x:v>Technical lead + repository maintainer</x:v>
      </x:c>
      <x:c r="G12" s="46" t="str">
        <x:v>SEC05</x:v>
      </x:c>
      <x:c r="H12" s="46" t="str">
        <x:v>G1 Trusted baseline</x:v>
      </x:c>
    </x:row>
    <x:row r="13" ht="48" customHeight="1">
      <x:c r="A13" s="46" t="str">
        <x:v>SRC02</x:v>
      </x:c>
      <x:c r="B13" s="46" t="str">
        <x:v>P1</x:v>
      </x:c>
      <x:c r="C13" s="46" t="str">
        <x:v>Source convergence and architecture</x:v>
      </x:c>
      <x:c r="D13" s="46" t="str">
        <x:v>Reconcile every delivered patch</x:v>
      </x:c>
      <x:c r="E13" s="46" t="str">
        <x:v>Open - verify or implement</x:v>
      </x:c>
      <x:c r="F13" s="46" t="str">
        <x:v>Technical lead + repository maintainer</x:v>
      </x:c>
      <x:c r="G13" s="46" t="str">
        <x:v>SRC01</x:v>
      </x:c>
      <x:c r="H13" s="46" t="str">
        <x:v>G1 Trusted baseline</x:v>
      </x:c>
    </x:row>
    <x:row r="14" ht="48" customHeight="1">
      <x:c r="A14" s="46" t="str">
        <x:v>SRC03</x:v>
      </x:c>
      <x:c r="B14" s="46" t="str">
        <x:v>P1</x:v>
      </x:c>
      <x:c r="C14" s="46" t="str">
        <x:v>Source convergence and architecture</x:v>
      </x:c>
      <x:c r="D14" s="46" t="str">
        <x:v>Resolve revised-file siblings</x:v>
      </x:c>
      <x:c r="E14" s="46" t="str">
        <x:v>Open - verify or implement</x:v>
      </x:c>
      <x:c r="F14" s="46" t="str">
        <x:v>Technical lead + repository maintainer</x:v>
      </x:c>
      <x:c r="G14" s="46" t="str">
        <x:v>SRC02</x:v>
      </x:c>
      <x:c r="H14" s="46" t="str">
        <x:v>G1 Trusted baseline</x:v>
      </x:c>
    </x:row>
    <x:row r="15" ht="48" customHeight="1">
      <x:c r="A15" s="46" t="str">
        <x:v>SRC04</x:v>
      </x:c>
      <x:c r="B15" s="46" t="str">
        <x:v>P1</x:v>
      </x:c>
      <x:c r="C15" s="46" t="str">
        <x:v>Source convergence and architecture</x:v>
      </x:c>
      <x:c r="D15" s="46" t="str">
        <x:v>Install the snapshot-reader integration</x:v>
      </x:c>
      <x:c r="E15" s="46" t="str">
        <x:v>Open - verify or implement</x:v>
      </x:c>
      <x:c r="F15" s="46" t="str">
        <x:v>Technical lead + repository maintainer</x:v>
      </x:c>
      <x:c r="G15" s="46" t="str">
        <x:v>SRC03</x:v>
      </x:c>
      <x:c r="H15" s="46" t="str">
        <x:v>G1 Trusted baseline</x:v>
      </x:c>
    </x:row>
    <x:row r="16" ht="48" customHeight="1">
      <x:c r="A16" s="46" t="str">
        <x:v>SRC05</x:v>
      </x:c>
      <x:c r="B16" s="46" t="str">
        <x:v>P1</x:v>
      </x:c>
      <x:c r="C16" s="46" t="str">
        <x:v>Source convergence and architecture</x:v>
      </x:c>
      <x:c r="D16" s="46" t="str">
        <x:v>Repair operator console composition</x:v>
      </x:c>
      <x:c r="E16" s="46" t="str">
        <x:v>Open - verify or implement</x:v>
      </x:c>
      <x:c r="F16" s="46" t="str">
        <x:v>Technical lead + repository maintainer</x:v>
      </x:c>
      <x:c r="G16" s="46" t="str">
        <x:v>SRC03</x:v>
      </x:c>
      <x:c r="H16" s="46" t="str">
        <x:v>G1 Trusted baseline</x:v>
      </x:c>
    </x:row>
    <x:row r="17" ht="48" customHeight="1">
      <x:c r="A17" s="46" t="str">
        <x:v>SRC06</x:v>
      </x:c>
      <x:c r="B17" s="46" t="str">
        <x:v>P1</x:v>
      </x:c>
      <x:c r="C17" s="46" t="str">
        <x:v>Source convergence and architecture</x:v>
      </x:c>
      <x:c r="D17" s="46" t="str">
        <x:v>Integrate governed boundary exceptions</x:v>
      </x:c>
      <x:c r="E17" s="46" t="str">
        <x:v>Open - verify or implement</x:v>
      </x:c>
      <x:c r="F17" s="46" t="str">
        <x:v>Technical lead + repository maintainer</x:v>
      </x:c>
      <x:c r="G17" s="46" t="str">
        <x:v>SRC03</x:v>
      </x:c>
      <x:c r="H17" s="46" t="str">
        <x:v>G1 Trusted baseline</x:v>
      </x:c>
    </x:row>
    <x:row r="18" ht="48" customHeight="1">
      <x:c r="A18" s="46" t="str">
        <x:v>SRC07</x:v>
      </x:c>
      <x:c r="B18" s="46" t="str">
        <x:v>P1</x:v>
      </x:c>
      <x:c r="C18" s="46" t="str">
        <x:v>Source convergence and architecture</x:v>
      </x:c>
      <x:c r="D18" s="46" t="str">
        <x:v>Resolve backend architecture decision</x:v>
      </x:c>
      <x:c r="E18" s="46" t="str">
        <x:v>Open - verify or implement</x:v>
      </x:c>
      <x:c r="F18" s="46" t="str">
        <x:v>Technical lead + repository maintainer</x:v>
      </x:c>
      <x:c r="G18" s="46" t="str">
        <x:v>SRC01</x:v>
      </x:c>
      <x:c r="H18" s="46" t="str">
        <x:v>G1 Trusted baseline</x:v>
      </x:c>
    </x:row>
    <x:row r="19" ht="48" customHeight="1">
      <x:c r="A19" s="46" t="str">
        <x:v>SRC08</x:v>
      </x:c>
      <x:c r="B19" s="46" t="str">
        <x:v>P1</x:v>
      </x:c>
      <x:c r="C19" s="46" t="str">
        <x:v>Source convergence and architecture</x:v>
      </x:c>
      <x:c r="D19" s="46" t="str">
        <x:v>Publish contract ownership map</x:v>
      </x:c>
      <x:c r="E19" s="46" t="str">
        <x:v>Open - verify or implement</x:v>
      </x:c>
      <x:c r="F19" s="46" t="str">
        <x:v>Technical lead + repository maintainer</x:v>
      </x:c>
      <x:c r="G19" s="46" t="str">
        <x:v>SRC07</x:v>
      </x:c>
      <x:c r="H19" s="46" t="str">
        <x:v>G1 Trusted baseline</x:v>
      </x:c>
    </x:row>
    <x:row r="20" ht="48" customHeight="1">
      <x:c r="A20" s="46" t="str">
        <x:v>SRC09</x:v>
      </x:c>
      <x:c r="B20" s="46" t="str">
        <x:v>P1</x:v>
      </x:c>
      <x:c r="C20" s="46" t="str">
        <x:v>Source convergence and architecture</x:v>
      </x:c>
      <x:c r="D20" s="46" t="str">
        <x:v>Enforce feature and tenant precedence</x:v>
      </x:c>
      <x:c r="E20" s="46" t="str">
        <x:v>Open - verify or implement</x:v>
      </x:c>
      <x:c r="F20" s="46" t="str">
        <x:v>Technical lead + repository maintainer</x:v>
      </x:c>
      <x:c r="G20" s="46" t="str">
        <x:v>SRC08</x:v>
      </x:c>
      <x:c r="H20" s="46" t="str">
        <x:v>G1 Trusted baseline</x:v>
      </x:c>
    </x:row>
    <x:row r="21" ht="48" customHeight="1">
      <x:c r="A21" s="46" t="str">
        <x:v>SRC10</x:v>
      </x:c>
      <x:c r="B21" s="46" t="str">
        <x:v>P2</x:v>
      </x:c>
      <x:c r="C21" s="46" t="str">
        <x:v>Source convergence and architecture</x:v>
      </x:c>
      <x:c r="D21" s="46" t="str">
        <x:v>Clean only disposable artifacts</x:v>
      </x:c>
      <x:c r="E21" s="46" t="str">
        <x:v>Open - verify or implement</x:v>
      </x:c>
      <x:c r="F21" s="46" t="str">
        <x:v>Technical lead + repository maintainer</x:v>
      </x:c>
      <x:c r="G21" s="46" t="str">
        <x:v>SRC02,SEC06</x:v>
      </x:c>
      <x:c r="H21" s="46" t="str">
        <x:v>G1 Trusted baseline</x:v>
      </x:c>
    </x:row>
    <x:row r="22" ht="48" customHeight="1">
      <x:c r="A22" s="46" t="str">
        <x:v>CI01</x:v>
      </x:c>
      <x:c r="B22" s="46" t="str">
        <x:v>P1</x:v>
      </x:c>
      <x:c r="C22" s="46" t="str">
        <x:v>Build and supply-chain gates</x:v>
      </x:c>
      <x:c r="D22" s="46" t="str">
        <x:v>Restore hosted CI visibility</x:v>
      </x:c>
      <x:c r="E22" s="46" t="str">
        <x:v>Open - verify or implement</x:v>
      </x:c>
      <x:c r="F22" s="46" t="str">
        <x:v>Build/release engineer</x:v>
      </x:c>
      <x:c r="G22" s="46" t="str">
        <x:v>SRC01</x:v>
      </x:c>
      <x:c r="H22" s="46" t="str">
        <x:v>G3 Integrated source</x:v>
      </x:c>
    </x:row>
    <x:row r="23" ht="48" customHeight="1">
      <x:c r="A23" s="46" t="str">
        <x:v>CI02</x:v>
      </x:c>
      <x:c r="B23" s="46" t="str">
        <x:v>P1</x:v>
      </x:c>
      <x:c r="C23" s="46" t="str">
        <x:v>Build and supply-chain gates</x:v>
      </x:c>
      <x:c r="D23" s="46" t="str">
        <x:v>Pin the complete toolchain</x:v>
      </x:c>
      <x:c r="E23" s="46" t="str">
        <x:v>Open - verify or implement</x:v>
      </x:c>
      <x:c r="F23" s="46" t="str">
        <x:v>Build/release engineer</x:v>
      </x:c>
      <x:c r="G23" s="46" t="str">
        <x:v>SRC01</x:v>
      </x:c>
      <x:c r="H23" s="46" t="str">
        <x:v>G3 Integrated source</x:v>
      </x:c>
    </x:row>
    <x:row r="24" ht="48" customHeight="1">
      <x:c r="A24" s="46" t="str">
        <x:v>CI03</x:v>
      </x:c>
      <x:c r="B24" s="46" t="str">
        <x:v>P1</x:v>
      </x:c>
      <x:c r="C24" s="46" t="str">
        <x:v>Build and supply-chain gates</x:v>
      </x:c>
      <x:c r="D24" s="46" t="str">
        <x:v>Gate every deployment path</x:v>
      </x:c>
      <x:c r="E24" s="46" t="str">
        <x:v>Open - verify or implement</x:v>
      </x:c>
      <x:c r="F24" s="46" t="str">
        <x:v>Build/release engineer</x:v>
      </x:c>
      <x:c r="G24" s="46" t="str">
        <x:v>CI01,CI02</x:v>
      </x:c>
      <x:c r="H24" s="46" t="str">
        <x:v>G3 Integrated source</x:v>
      </x:c>
    </x:row>
    <x:row r="25" ht="48" customHeight="1">
      <x:c r="A25" s="46" t="str">
        <x:v>CI04</x:v>
      </x:c>
      <x:c r="B25" s="46" t="str">
        <x:v>P1</x:v>
      </x:c>
      <x:c r="C25" s="46" t="str">
        <x:v>Build and supply-chain gates</x:v>
      </x:c>
      <x:c r="D25" s="46" t="str">
        <x:v>Remove implicit typecheck bypass</x:v>
      </x:c>
      <x:c r="E25" s="46" t="str">
        <x:v>Open - verify or implement</x:v>
      </x:c>
      <x:c r="F25" s="46" t="str">
        <x:v>Build/release engineer</x:v>
      </x:c>
      <x:c r="G25" s="46" t="str">
        <x:v>CI03</x:v>
      </x:c>
      <x:c r="H25" s="46" t="str">
        <x:v>G3 Integrated source</x:v>
      </x:c>
    </x:row>
    <x:row r="26" ht="48" customHeight="1">
      <x:c r="A26" s="46" t="str">
        <x:v>CI05</x:v>
      </x:c>
      <x:c r="B26" s="46" t="str">
        <x:v>P1</x:v>
      </x:c>
      <x:c r="C26" s="46" t="str">
        <x:v>Build and supply-chain gates</x:v>
      </x:c>
      <x:c r="D26" s="46" t="str">
        <x:v>Add candidate backend suites to CI</x:v>
      </x:c>
      <x:c r="E26" s="46" t="str">
        <x:v>Open - verify or implement</x:v>
      </x:c>
      <x:c r="F26" s="46" t="str">
        <x:v>Build/release engineer</x:v>
      </x:c>
      <x:c r="G26" s="46" t="str">
        <x:v>SRC04,SRC05,SRC06,CI02</x:v>
      </x:c>
      <x:c r="H26" s="46" t="str">
        <x:v>G3 Integrated source</x:v>
      </x:c>
    </x:row>
    <x:row r="27" ht="48" customHeight="1">
      <x:c r="A27" s="46" t="str">
        <x:v>CI06</x:v>
      </x:c>
      <x:c r="B27" s="46" t="str">
        <x:v>P1</x:v>
      </x:c>
      <x:c r="C27" s="46" t="str">
        <x:v>Build and supply-chain gates</x:v>
      </x:c>
      <x:c r="D27" s="46" t="str">
        <x:v>Build ten club-platform targets</x:v>
      </x:c>
      <x:c r="E27" s="46" t="str">
        <x:v>Open - verify or implement</x:v>
      </x:c>
      <x:c r="F27" s="46" t="str">
        <x:v>Build/release engineer</x:v>
      </x:c>
      <x:c r="G27" s="46" t="str">
        <x:v>CI02,SRC09</x:v>
      </x:c>
      <x:c r="H27" s="46" t="str">
        <x:v>G3 Integrated source</x:v>
      </x:c>
    </x:row>
    <x:row r="28" ht="48" customHeight="1">
      <x:c r="A28" s="46" t="str">
        <x:v>CI07</x:v>
      </x:c>
      <x:c r="B28" s="46" t="str">
        <x:v>P1</x:v>
      </x:c>
      <x:c r="C28" s="46" t="str">
        <x:v>Build and supply-chain gates</x:v>
      </x:c>
      <x:c r="D28" s="46" t="str">
        <x:v>Harden workflow dependencies</x:v>
      </x:c>
      <x:c r="E28" s="46" t="str">
        <x:v>Open - verify or implement</x:v>
      </x:c>
      <x:c r="F28" s="46" t="str">
        <x:v>Build/release engineer</x:v>
      </x:c>
      <x:c r="G28" s="46" t="str">
        <x:v>CI01,SEC06</x:v>
      </x:c>
      <x:c r="H28" s="46" t="str">
        <x:v>G3 Integrated source</x:v>
      </x:c>
    </x:row>
    <x:row r="29" ht="48" customHeight="1">
      <x:c r="A29" s="46" t="str">
        <x:v>CI08</x:v>
      </x:c>
      <x:c r="B29" s="46" t="str">
        <x:v>P1</x:v>
      </x:c>
      <x:c r="C29" s="46" t="str">
        <x:v>Build and supply-chain gates</x:v>
      </x:c>
      <x:c r="D29" s="46" t="str">
        <x:v>Refresh advisories and SBOM</x:v>
      </x:c>
      <x:c r="E29" s="46" t="str">
        <x:v>Open - verify or implement</x:v>
      </x:c>
      <x:c r="F29" s="46" t="str">
        <x:v>Build/release engineer</x:v>
      </x:c>
      <x:c r="G29" s="46" t="str">
        <x:v>CI02</x:v>
      </x:c>
      <x:c r="H29" s="46" t="str">
        <x:v>G3 Integrated source</x:v>
      </x:c>
    </x:row>
    <x:row r="30" ht="48" customHeight="1">
      <x:c r="A30" s="46" t="str">
        <x:v>CI09</x:v>
      </x:c>
      <x:c r="B30" s="46" t="str">
        <x:v>P1</x:v>
      </x:c>
      <x:c r="C30" s="46" t="str">
        <x:v>Build and supply-chain gates</x:v>
      </x:c>
      <x:c r="D30" s="46" t="str">
        <x:v>Seal artifact provenance</x:v>
      </x:c>
      <x:c r="E30" s="46" t="str">
        <x:v>Open - verify or implement</x:v>
      </x:c>
      <x:c r="F30" s="46" t="str">
        <x:v>Build/release engineer</x:v>
      </x:c>
      <x:c r="G30" s="46" t="str">
        <x:v>CI05,CI06,CI08</x:v>
      </x:c>
      <x:c r="H30" s="46" t="str">
        <x:v>G3 Integrated source</x:v>
      </x:c>
    </x:row>
    <x:row r="31" ht="48" customHeight="1">
      <x:c r="A31" s="46" t="str">
        <x:v>CI10</x:v>
      </x:c>
      <x:c r="B31" s="46" t="str">
        <x:v>P1</x:v>
      </x:c>
      <x:c r="C31" s="46" t="str">
        <x:v>Build and supply-chain gates</x:v>
      </x:c>
      <x:c r="D31" s="46" t="str">
        <x:v>Verify native and Worker toolchains</x:v>
      </x:c>
      <x:c r="E31" s="46" t="str">
        <x:v>Open - verify or implement</x:v>
      </x:c>
      <x:c r="F31" s="46" t="str">
        <x:v>Build/release engineer</x:v>
      </x:c>
      <x:c r="G31" s="46" t="str">
        <x:v>CI02</x:v>
      </x:c>
      <x:c r="H31" s="46" t="str">
        <x:v>G3 Integrated source</x:v>
      </x:c>
    </x:row>
    <x:row r="32" ht="48" customHeight="1">
      <x:c r="A32" s="46" t="str">
        <x:v>AUT01</x:v>
      </x:c>
      <x:c r="B32" s="46" t="str">
        <x:v>P1</x:v>
      </x:c>
      <x:c r="C32" s="46" t="str">
        <x:v>Identity and authorization</x:v>
      </x:c>
      <x:c r="D32" s="46" t="str">
        <x:v>Model the identity migration</x:v>
      </x:c>
      <x:c r="E32" s="46" t="str">
        <x:v>Open - verify or implement</x:v>
      </x:c>
      <x:c r="F32" s="46" t="str">
        <x:v>Identity/security engineer</x:v>
      </x:c>
      <x:c r="G32" s="46" t="str">
        <x:v>SRC08</x:v>
      </x:c>
      <x:c r="H32" s="46" t="str">
        <x:v>G4 Trusted services</x:v>
      </x:c>
    </x:row>
    <x:row r="33" ht="48" customHeight="1">
      <x:c r="A33" s="46" t="str">
        <x:v>AUT02</x:v>
      </x:c>
      <x:c r="B33" s="46" t="str">
        <x:v>P1</x:v>
      </x:c>
      <x:c r="C33" s="46" t="str">
        <x:v>Identity and authorization</x:v>
      </x:c>
      <x:c r="D33" s="46" t="str">
        <x:v>Implement protected credential storage</x:v>
      </x:c>
      <x:c r="E33" s="46" t="str">
        <x:v>Open - verify or implement</x:v>
      </x:c>
      <x:c r="F33" s="46" t="str">
        <x:v>Identity/security engineer</x:v>
      </x:c>
      <x:c r="G33" s="46" t="str">
        <x:v>CI10</x:v>
      </x:c>
      <x:c r="H33" s="46" t="str">
        <x:v>G4 Trusted services</x:v>
      </x:c>
    </x:row>
    <x:row r="34" ht="48" customHeight="1">
      <x:c r="A34" s="46" t="str">
        <x:v>AUT03</x:v>
      </x:c>
      <x:c r="B34" s="46" t="str">
        <x:v>P1</x:v>
      </x:c>
      <x:c r="C34" s="46" t="str">
        <x:v>Identity and authorization</x:v>
      </x:c>
      <x:c r="D34" s="46" t="str">
        <x:v>Complete anonymous and signup flows</x:v>
      </x:c>
      <x:c r="E34" s="46" t="str">
        <x:v>Open - verify or implement</x:v>
      </x:c>
      <x:c r="F34" s="46" t="str">
        <x:v>Identity/security engineer</x:v>
      </x:c>
      <x:c r="G34" s="46" t="str">
        <x:v>AUT01</x:v>
      </x:c>
      <x:c r="H34" s="46" t="str">
        <x:v>G4 Trusted services</x:v>
      </x:c>
    </x:row>
    <x:row r="35" ht="48" customHeight="1">
      <x:c r="A35" s="46" t="str">
        <x:v>AUT04</x:v>
      </x:c>
      <x:c r="B35" s="46" t="str">
        <x:v>P1</x:v>
      </x:c>
      <x:c r="C35" s="46" t="str">
        <x:v>Identity and authorization</x:v>
      </x:c>
      <x:c r="D35" s="46" t="str">
        <x:v>Implement phone and lost-phone recovery</x:v>
      </x:c>
      <x:c r="E35" s="46" t="str">
        <x:v>Open - verify or implement</x:v>
      </x:c>
      <x:c r="F35" s="46" t="str">
        <x:v>Identity/security engineer</x:v>
      </x:c>
      <x:c r="G35" s="46" t="str">
        <x:v>AUT01</x:v>
      </x:c>
      <x:c r="H35" s="46" t="str">
        <x:v>G4 Trusted services</x:v>
      </x:c>
    </x:row>
    <x:row r="36" ht="48" customHeight="1">
      <x:c r="A36" s="46" t="str">
        <x:v>AUT05</x:v>
      </x:c>
      <x:c r="B36" s="46" t="str">
        <x:v>P1</x:v>
      </x:c>
      <x:c r="C36" s="46" t="str">
        <x:v>Identity and authorization</x:v>
      </x:c>
      <x:c r="D36" s="46" t="str">
        <x:v>Verify real OTP delivery</x:v>
      </x:c>
      <x:c r="E36" s="46" t="str">
        <x:v>Open - verify or implement</x:v>
      </x:c>
      <x:c r="F36" s="46" t="str">
        <x:v>Identity/security engineer</x:v>
      </x:c>
      <x:c r="G36" s="46" t="str">
        <x:v>AUT01,OPS03</x:v>
      </x:c>
      <x:c r="H36" s="46" t="str">
        <x:v>G4 Trusted services</x:v>
      </x:c>
    </x:row>
    <x:row r="37" ht="48" customHeight="1">
      <x:c r="A37" s="46" t="str">
        <x:v>AUT06</x:v>
      </x:c>
      <x:c r="B37" s="46" t="str">
        <x:v>P1</x:v>
      </x:c>
      <x:c r="C37" s="46" t="str">
        <x:v>Identity and authorization</x:v>
      </x:c>
      <x:c r="D37" s="46" t="str">
        <x:v>Eliminate unsafe legacy delivery defaults</x:v>
      </x:c>
      <x:c r="E37" s="46" t="str">
        <x:v>Open - verify or implement</x:v>
      </x:c>
      <x:c r="F37" s="46" t="str">
        <x:v>Identity/security engineer</x:v>
      </x:c>
      <x:c r="G37" s="46" t="str">
        <x:v>AUT05</x:v>
      </x:c>
      <x:c r="H37" s="46" t="str">
        <x:v>G4 Trusted services</x:v>
      </x:c>
    </x:row>
    <x:row r="38" ht="48" customHeight="1">
      <x:c r="A38" s="46" t="str">
        <x:v>AUT07</x:v>
      </x:c>
      <x:c r="B38" s="46" t="str">
        <x:v>P1</x:v>
      </x:c>
      <x:c r="C38" s="46" t="str">
        <x:v>Identity and authorization</x:v>
      </x:c>
      <x:c r="D38" s="46" t="str">
        <x:v>Specify cross-database revocation semantics</x:v>
      </x:c>
      <x:c r="E38" s="46" t="str">
        <x:v>Open - verify or implement</x:v>
      </x:c>
      <x:c r="F38" s="46" t="str">
        <x:v>Identity/security engineer</x:v>
      </x:c>
      <x:c r="G38" s="46" t="str">
        <x:v>SRC07,AUT01</x:v>
      </x:c>
      <x:c r="H38" s="46" t="str">
        <x:v>G4 Trusted services</x:v>
      </x:c>
    </x:row>
    <x:row r="39" ht="48" customHeight="1">
      <x:c r="A39" s="46" t="str">
        <x:v>AUT08</x:v>
      </x:c>
      <x:c r="B39" s="46" t="str">
        <x:v>P1</x:v>
      </x:c>
      <x:c r="C39" s="46" t="str">
        <x:v>Identity and authorization</x:v>
      </x:c>
      <x:c r="D39" s="46" t="str">
        <x:v>Complete refresh and logout integration</x:v>
      </x:c>
      <x:c r="E39" s="46" t="str">
        <x:v>Open - verify or implement</x:v>
      </x:c>
      <x:c r="F39" s="46" t="str">
        <x:v>Identity/security engineer</x:v>
      </x:c>
      <x:c r="G39" s="46" t="str">
        <x:v>AUT02,AUT07</x:v>
      </x:c>
      <x:c r="H39" s="46" t="str">
        <x:v>G4 Trusted services</x:v>
      </x:c>
    </x:row>
    <x:row r="40" ht="48" customHeight="1">
      <x:c r="A40" s="46" t="str">
        <x:v>AUT09</x:v>
      </x:c>
      <x:c r="B40" s="46" t="str">
        <x:v>P1</x:v>
      </x:c>
      <x:c r="C40" s="46" t="str">
        <x:v>Identity and authorization</x:v>
      </x:c>
      <x:c r="D40" s="46" t="str">
        <x:v>Implement staff authorization lifecycle</x:v>
      </x:c>
      <x:c r="E40" s="46" t="str">
        <x:v>Open - verify or implement</x:v>
      </x:c>
      <x:c r="F40" s="46" t="str">
        <x:v>Identity/security engineer</x:v>
      </x:c>
      <x:c r="G40" s="46" t="str">
        <x:v>AUT07,SEC08</x:v>
      </x:c>
      <x:c r="H40" s="46" t="str">
        <x:v>G4 Trusted services</x:v>
      </x:c>
    </x:row>
    <x:row r="41" ht="48" customHeight="1">
      <x:c r="A41" s="46" t="str">
        <x:v>AUT10</x:v>
      </x:c>
      <x:c r="B41" s="46" t="str">
        <x:v>P1</x:v>
      </x:c>
      <x:c r="C41" s="46" t="str">
        <x:v>Identity and authorization</x:v>
      </x:c>
      <x:c r="D41" s="46" t="str">
        <x:v>Secure browser sessions</x:v>
      </x:c>
      <x:c r="E41" s="46" t="str">
        <x:v>Open - verify or implement</x:v>
      </x:c>
      <x:c r="F41" s="46" t="str">
        <x:v>Identity/security engineer</x:v>
      </x:c>
      <x:c r="G41" s="46" t="str">
        <x:v>AUT07</x:v>
      </x:c>
      <x:c r="H41" s="46" t="str">
        <x:v>G4 Trusted services</x:v>
      </x:c>
    </x:row>
    <x:row r="42" ht="48" customHeight="1">
      <x:c r="A42" s="46" t="str">
        <x:v>AUT11</x:v>
      </x:c>
      <x:c r="B42" s="46" t="str">
        <x:v>P1</x:v>
      </x:c>
      <x:c r="C42" s="46" t="str">
        <x:v>Identity and authorization</x:v>
      </x:c>
      <x:c r="D42" s="46" t="str">
        <x:v>Complete export and deletion workflows</x:v>
      </x:c>
      <x:c r="E42" s="46" t="str">
        <x:v>Open - verify or implement</x:v>
      </x:c>
      <x:c r="F42" s="46" t="str">
        <x:v>Identity/security engineer</x:v>
      </x:c>
      <x:c r="G42" s="46" t="str">
        <x:v>AUT01,LEG04</x:v>
      </x:c>
      <x:c r="H42" s="46" t="str">
        <x:v>G4 Trusted services</x:v>
      </x:c>
    </x:row>
    <x:row r="43" ht="48" customHeight="1">
      <x:c r="A43" s="46" t="str">
        <x:v>AUT12</x:v>
      </x:c>
      <x:c r="B43" s="46" t="str">
        <x:v>P1</x:v>
      </x:c>
      <x:c r="C43" s="46" t="str">
        <x:v>Identity and authorization</x:v>
      </x:c>
      <x:c r="D43" s="46" t="str">
        <x:v>Threat-model all tenant boundaries</x:v>
      </x:c>
      <x:c r="E43" s="46" t="str">
        <x:v>Open - verify or implement</x:v>
      </x:c>
      <x:c r="F43" s="46" t="str">
        <x:v>Identity/security engineer</x:v>
      </x:c>
      <x:c r="G43" s="46" t="str">
        <x:v>SRC08,AUT09,AUT10</x:v>
      </x:c>
      <x:c r="H43" s="46" t="str">
        <x:v>G4 Trusted services</x:v>
      </x:c>
    </x:row>
    <x:row r="44" ht="48" customHeight="1">
      <x:c r="A44" s="46" t="str">
        <x:v>PAY01</x:v>
      </x:c>
      <x:c r="B44" s="46" t="str">
        <x:v>P1</x:v>
      </x:c>
      <x:c r="C44" s="46" t="str">
        <x:v>Payment evidence and recovery</x:v>
      </x:c>
      <x:c r="D44" s="46" t="str">
        <x:v>Define authentic evidence ingress</x:v>
      </x:c>
      <x:c r="E44" s="46" t="str">
        <x:v>Open - verify or implement</x:v>
      </x:c>
      <x:c r="F44" s="46" t="str">
        <x:v>Payments engineer + finance control owner</x:v>
      </x:c>
      <x:c r="G44" s="46" t="str">
        <x:v>AUT09,AUT12</x:v>
      </x:c>
      <x:c r="H44" s="46" t="str">
        <x:v>G5 End-to-end transactions</x:v>
      </x:c>
    </x:row>
    <x:row r="45" ht="48" customHeight="1">
      <x:c r="A45" s="46" t="str">
        <x:v>PAY02</x:v>
      </x:c>
      <x:c r="B45" s="46" t="str">
        <x:v>P1</x:v>
      </x:c>
      <x:c r="C45" s="46" t="str">
        <x:v>Payment evidence and recovery</x:v>
      </x:c>
      <x:c r="D45" s="46" t="str">
        <x:v>Reconcile historic transaction claims</x:v>
      </x:c>
      <x:c r="E45" s="46" t="str">
        <x:v>Open - verify or implement</x:v>
      </x:c>
      <x:c r="F45" s="46" t="str">
        <x:v>Payments engineer + finance control owner</x:v>
      </x:c>
      <x:c r="G45" s="46" t="str">
        <x:v>DAT01,DAT02</x:v>
      </x:c>
      <x:c r="H45" s="46" t="str">
        <x:v>G5 End-to-end transactions</x:v>
      </x:c>
    </x:row>
    <x:row r="46" ht="48" customHeight="1">
      <x:c r="A46" s="46" t="str">
        <x:v>PAY03</x:v>
      </x:c>
      <x:c r="B46" s="46" t="str">
        <x:v>P1</x:v>
      </x:c>
      <x:c r="C46" s="46" t="str">
        <x:v>Payment evidence and recovery</x:v>
      </x:c>
      <x:c r="D46" s="46" t="str">
        <x:v>Approve receiver and catalog mappings</x:v>
      </x:c>
      <x:c r="E46" s="46" t="str">
        <x:v>Open - verify or implement</x:v>
      </x:c>
      <x:c r="F46" s="46" t="str">
        <x:v>Payments engineer + finance control owner</x:v>
      </x:c>
      <x:c r="G46" s="46" t="str">
        <x:v>LEG01,DAT02</x:v>
      </x:c>
      <x:c r="H46" s="46" t="str">
        <x:v>G5 End-to-end transactions</x:v>
      </x:c>
    </x:row>
    <x:row r="47" ht="48" customHeight="1">
      <x:c r="A47" s="46" t="str">
        <x:v>PAY04</x:v>
      </x:c>
      <x:c r="B47" s="46" t="str">
        <x:v>P1</x:v>
      </x:c>
      <x:c r="C47" s="46" t="str">
        <x:v>Payment evidence and recovery</x:v>
      </x:c>
      <x:c r="D47" s="46" t="str">
        <x:v>Connect actual checkout clients</x:v>
      </x:c>
      <x:c r="E47" s="46" t="str">
        <x:v>Open - verify or implement</x:v>
      </x:c>
      <x:c r="F47" s="46" t="str">
        <x:v>Payments engineer + finance control owner</x:v>
      </x:c>
      <x:c r="G47" s="46" t="str">
        <x:v>AUT08,AUT10,PAY03,NAT04</x:v>
      </x:c>
      <x:c r="H47" s="46" t="str">
        <x:v>G5 End-to-end transactions</x:v>
      </x:c>
    </x:row>
    <x:row r="48" ht="48" customHeight="1">
      <x:c r="A48" s="46" t="str">
        <x:v>PAY05</x:v>
      </x:c>
      <x:c r="B48" s="46" t="str">
        <x:v>P1</x:v>
      </x:c>
      <x:c r="C48" s="46" t="str">
        <x:v>Payment evidence and recovery</x:v>
      </x:c>
      <x:c r="D48" s="46" t="str">
        <x:v>Recover lost local operation state</x:v>
      </x:c>
      <x:c r="E48" s="46" t="str">
        <x:v>Open - verify or implement</x:v>
      </x:c>
      <x:c r="F48" s="46" t="str">
        <x:v>Payments engineer + finance control owner</x:v>
      </x:c>
      <x:c r="G48" s="46" t="str">
        <x:v>AUT07,PAY04</x:v>
      </x:c>
      <x:c r="H48" s="46" t="str">
        <x:v>G5 End-to-end transactions</x:v>
      </x:c>
    </x:row>
    <x:row r="49" ht="48" customHeight="1">
      <x:c r="A49" s="46" t="str">
        <x:v>PAY06</x:v>
      </x:c>
      <x:c r="B49" s="46" t="str">
        <x:v>P1</x:v>
      </x:c>
      <x:c r="C49" s="46" t="str">
        <x:v>Payment evidence and recovery</x:v>
      </x:c>
      <x:c r="D49" s="46" t="str">
        <x:v>Resolve late and unknown payments</x:v>
      </x:c>
      <x:c r="E49" s="46" t="str">
        <x:v>Open - verify or implement</x:v>
      </x:c>
      <x:c r="F49" s="46" t="str">
        <x:v>Payments engineer + finance control owner</x:v>
      </x:c>
      <x:c r="G49" s="46" t="str">
        <x:v>PAY01,PAY05,AUT09</x:v>
      </x:c>
      <x:c r="H49" s="46" t="str">
        <x:v>G5 End-to-end transactions</x:v>
      </x:c>
    </x:row>
    <x:row r="50" ht="48" customHeight="1">
      <x:c r="A50" s="46" t="str">
        <x:v>PAY07</x:v>
      </x:c>
      <x:c r="B50" s="46" t="str">
        <x:v>P1</x:v>
      </x:c>
      <x:c r="C50" s="46" t="str">
        <x:v>Payment evidence and recovery</x:v>
      </x:c>
      <x:c r="D50" s="46" t="str">
        <x:v>Implement reversals and refunds</x:v>
      </x:c>
      <x:c r="E50" s="46" t="str">
        <x:v>Open - verify or implement</x:v>
      </x:c>
      <x:c r="F50" s="46" t="str">
        <x:v>Payments engineer + finance control owner</x:v>
      </x:c>
      <x:c r="G50" s="46" t="str">
        <x:v>PAY06,LEG02</x:v>
      </x:c>
      <x:c r="H50" s="46" t="str">
        <x:v>G5 End-to-end transactions</x:v>
      </x:c>
    </x:row>
    <x:row r="51" ht="48" customHeight="1">
      <x:c r="A51" s="46" t="str">
        <x:v>PAY08</x:v>
      </x:c>
      <x:c r="B51" s="46" t="str">
        <x:v>P1</x:v>
      </x:c>
      <x:c r="C51" s="46" t="str">
        <x:v>Payment evidence and recovery</x:v>
      </x:c>
      <x:c r="D51" s="46" t="str">
        <x:v>Prove one writer under cutover</x:v>
      </x:c>
      <x:c r="E51" s="46" t="str">
        <x:v>Open - verify or implement</x:v>
      </x:c>
      <x:c r="F51" s="46" t="str">
        <x:v>Payments engineer + finance control owner</x:v>
      </x:c>
      <x:c r="G51" s="46" t="str">
        <x:v>PAY02,DAT07</x:v>
      </x:c>
      <x:c r="H51" s="46" t="str">
        <x:v>G5 End-to-end transactions</x:v>
      </x:c>
    </x:row>
    <x:row r="52" ht="48" customHeight="1">
      <x:c r="A52" s="46" t="str">
        <x:v>PAY09</x:v>
      </x:c>
      <x:c r="B52" s="46" t="str">
        <x:v>P1</x:v>
      </x:c>
      <x:c r="C52" s="46" t="str">
        <x:v>Payment evidence and recovery</x:v>
      </x:c>
      <x:c r="D52" s="46" t="str">
        <x:v>Integrate durable effect consumers</x:v>
      </x:c>
      <x:c r="E52" s="46" t="str">
        <x:v>Open - verify or implement</x:v>
      </x:c>
      <x:c r="F52" s="46" t="str">
        <x:v>Payments engineer + finance control owner</x:v>
      </x:c>
      <x:c r="G52" s="46" t="str">
        <x:v>DOM10,OPS03</x:v>
      </x:c>
      <x:c r="H52" s="46" t="str">
        <x:v>G5 End-to-end transactions</x:v>
      </x:c>
    </x:row>
    <x:row r="53" ht="48" customHeight="1">
      <x:c r="A53" s="46" t="str">
        <x:v>PAY10</x:v>
      </x:c>
      <x:c r="B53" s="46" t="str">
        <x:v>P1</x:v>
      </x:c>
      <x:c r="C53" s="46" t="str">
        <x:v>Payment evidence and recovery</x:v>
      </x:c>
      <x:c r="D53" s="46" t="str">
        <x:v>Run real transactional acceptance</x:v>
      </x:c>
      <x:c r="E53" s="46" t="str">
        <x:v>Open - verify or implement</x:v>
      </x:c>
      <x:c r="F53" s="46" t="str">
        <x:v>Payments engineer + finance control owner</x:v>
      </x:c>
      <x:c r="G53" s="46" t="str">
        <x:v>PAY01,PAY04,PAY08</x:v>
      </x:c>
      <x:c r="H53" s="46" t="str">
        <x:v>G5 End-to-end transactions</x:v>
      </x:c>
    </x:row>
    <x:row r="54" ht="48" customHeight="1">
      <x:c r="A54" s="46" t="str">
        <x:v>PAY11</x:v>
      </x:c>
      <x:c r="B54" s="46" t="str">
        <x:v>P1</x:v>
      </x:c>
      <x:c r="C54" s="46" t="str">
        <x:v>Payment evidence and recovery</x:v>
      </x:c>
      <x:c r="D54" s="46" t="str">
        <x:v>Reconcile finance and operations</x:v>
      </x:c>
      <x:c r="E54" s="46" t="str">
        <x:v>Open - verify or implement</x:v>
      </x:c>
      <x:c r="F54" s="46" t="str">
        <x:v>Payments engineer + finance control owner</x:v>
      </x:c>
      <x:c r="G54" s="46" t="str">
        <x:v>PAY07,PAY09,PAY10</x:v>
      </x:c>
      <x:c r="H54" s="46" t="str">
        <x:v>G5 End-to-end transactions</x:v>
      </x:c>
    </x:row>
    <x:row r="55" ht="48" customHeight="1">
      <x:c r="A55" s="46" t="str">
        <x:v>PAY12</x:v>
      </x:c>
      <x:c r="B55" s="46" t="str">
        <x:v>P1</x:v>
      </x:c>
      <x:c r="C55" s="46" t="str">
        <x:v>Payment evidence and recovery</x:v>
      </x:c>
      <x:c r="D55" s="46" t="str">
        <x:v>Review ledger language and presentation</x:v>
      </x:c>
      <x:c r="E55" s="46" t="str">
        <x:v>Open - verify or implement</x:v>
      </x:c>
      <x:c r="F55" s="46" t="str">
        <x:v>Payments engineer + finance control owner</x:v>
      </x:c>
      <x:c r="G55" s="46" t="str">
        <x:v>PAY10,DOM01</x:v>
      </x:c>
      <x:c r="H55" s="46" t="str">
        <x:v>G5 End-to-end transactions</x:v>
      </x:c>
    </x:row>
    <x:row r="56" ht="48" customHeight="1">
      <x:c r="A56" s="46" t="str">
        <x:v>DOM01</x:v>
      </x:c>
      <x:c r="B56" s="46" t="str">
        <x:v>P1</x:v>
      </x:c>
      <x:c r="C56" s="46" t="str">
        <x:v>Complete retained business domains</x:v>
      </x:c>
      <x:c r="D56" s="46" t="str">
        <x:v>Complete membership product</x:v>
      </x:c>
      <x:c r="E56" s="46" t="str">
        <x:v>Open - verify or implement</x:v>
      </x:c>
      <x:c r="F56" s="46" t="str">
        <x:v>Domain leads + product owner</x:v>
      </x:c>
      <x:c r="G56" s="46" t="str">
        <x:v>PAY10,AUT12</x:v>
      </x:c>
      <x:c r="H56" s="46" t="str">
        <x:v>G5 End-to-end transactions</x:v>
      </x:c>
    </x:row>
    <x:row r="57" ht="48" customHeight="1">
      <x:c r="A57" s="46" t="str">
        <x:v>DOM02</x:v>
      </x:c>
      <x:c r="B57" s="46" t="str">
        <x:v>P1</x:v>
      </x:c>
      <x:c r="C57" s="46" t="str">
        <x:v>Complete retained business domains</x:v>
      </x:c>
      <x:c r="D57" s="46" t="str">
        <x:v>Complete initiative contributions</x:v>
      </x:c>
      <x:c r="E57" s="46" t="str">
        <x:v>Open - verify or implement</x:v>
      </x:c>
      <x:c r="F57" s="46" t="str">
        <x:v>Domain leads + product owner</x:v>
      </x:c>
      <x:c r="G57" s="46" t="str">
        <x:v>PAY01,LEG03</x:v>
      </x:c>
      <x:c r="H57" s="46" t="str">
        <x:v>G5 End-to-end transactions</x:v>
      </x:c>
    </x:row>
    <x:row r="58" ht="48" customHeight="1">
      <x:c r="A58" s="46" t="str">
        <x:v>DOM03</x:v>
      </x:c>
      <x:c r="B58" s="46" t="str">
        <x:v>P1</x:v>
      </x:c>
      <x:c r="C58" s="46" t="str">
        <x:v>Complete retained business domains</x:v>
      </x:c>
      <x:c r="D58" s="46" t="str">
        <x:v>Complete group contribution flows</x:v>
      </x:c>
      <x:c r="E58" s="46" t="str">
        <x:v>Open - verify or implement</x:v>
      </x:c>
      <x:c r="F58" s="46" t="str">
        <x:v>Domain leads + product owner</x:v>
      </x:c>
      <x:c r="G58" s="46" t="str">
        <x:v>DOM02,AUT12</x:v>
      </x:c>
      <x:c r="H58" s="46" t="str">
        <x:v>G5 End-to-end transactions</x:v>
      </x:c>
    </x:row>
    <x:row r="59" ht="48" customHeight="1">
      <x:c r="A59" s="46" t="str">
        <x:v>DOM04</x:v>
      </x:c>
      <x:c r="B59" s="46" t="str">
        <x:v>P1</x:v>
      </x:c>
      <x:c r="C59" s="46" t="str">
        <x:v>Complete retained business domains</x:v>
      </x:c>
      <x:c r="D59" s="46" t="str">
        <x:v>Finish ticket inventory and issuance</x:v>
      </x:c>
      <x:c r="E59" s="46" t="str">
        <x:v>Open - verify or implement</x:v>
      </x:c>
      <x:c r="F59" s="46" t="str">
        <x:v>Domain leads + product owner</x:v>
      </x:c>
      <x:c r="G59" s="46" t="str">
        <x:v>PAY10</x:v>
      </x:c>
      <x:c r="H59" s="46" t="str">
        <x:v>G5 End-to-end transactions</x:v>
      </x:c>
    </x:row>
    <x:row r="60" ht="48" customHeight="1">
      <x:c r="A60" s="46" t="str">
        <x:v>DOM05</x:v>
      </x:c>
      <x:c r="B60" s="46" t="str">
        <x:v>P1</x:v>
      </x:c>
      <x:c r="C60" s="46" t="str">
        <x:v>Complete retained business domains</x:v>
      </x:c>
      <x:c r="D60" s="46" t="str">
        <x:v>Complete gate redemption</x:v>
      </x:c>
      <x:c r="E60" s="46" t="str">
        <x:v>Open - verify or implement</x:v>
      </x:c>
      <x:c r="F60" s="46" t="str">
        <x:v>Domain leads + product owner</x:v>
      </x:c>
      <x:c r="G60" s="46" t="str">
        <x:v>DOM04,AUT09</x:v>
      </x:c>
      <x:c r="H60" s="46" t="str">
        <x:v>G5 End-to-end transactions</x:v>
      </x:c>
    </x:row>
    <x:row r="61" ht="48" customHeight="1">
      <x:c r="A61" s="46" t="str">
        <x:v>DOM06</x:v>
      </x:c>
      <x:c r="B61" s="46" t="str">
        <x:v>P1</x:v>
      </x:c>
      <x:c r="C61" s="46" t="str">
        <x:v>Complete retained business domains</x:v>
      </x:c>
      <x:c r="D61" s="46" t="str">
        <x:v>Complete Wallet pass lifecycle</x:v>
      </x:c>
      <x:c r="E61" s="46" t="str">
        <x:v>Open - verify or implement</x:v>
      </x:c>
      <x:c r="F61" s="46" t="str">
        <x:v>Domain leads + product owner</x:v>
      </x:c>
      <x:c r="G61" s="46" t="str">
        <x:v>DOM04,OPS03</x:v>
      </x:c>
      <x:c r="H61" s="46" t="str">
        <x:v>G5 End-to-end transactions</x:v>
      </x:c>
    </x:row>
    <x:row r="62" ht="48" customHeight="1">
      <x:c r="A62" s="46" t="str">
        <x:v>DOM07</x:v>
      </x:c>
      <x:c r="B62" s="46" t="str">
        <x:v>P1</x:v>
      </x:c>
      <x:c r="C62" s="46" t="str">
        <x:v>Complete retained business domains</x:v>
      </x:c>
      <x:c r="D62" s="46" t="str">
        <x:v>Complete shop transactions</x:v>
      </x:c>
      <x:c r="E62" s="46" t="str">
        <x:v>Open - verify or implement</x:v>
      </x:c>
      <x:c r="F62" s="46" t="str">
        <x:v>Domain leads + product owner</x:v>
      </x:c>
      <x:c r="G62" s="46" t="str">
        <x:v>PAY07,PAY10</x:v>
      </x:c>
      <x:c r="H62" s="46" t="str">
        <x:v>G5 End-to-end transactions</x:v>
      </x:c>
    </x:row>
    <x:row r="63" ht="48" customHeight="1">
      <x:c r="A63" s="46" t="str">
        <x:v>DOM08</x:v>
      </x:c>
      <x:c r="B63" s="46" t="str">
        <x:v>P1</x:v>
      </x:c>
      <x:c r="C63" s="46" t="str">
        <x:v>Complete retained business domains</x:v>
      </x:c>
      <x:c r="D63" s="46" t="str">
        <x:v>Reconcile Predict economic contract</x:v>
      </x:c>
      <x:c r="E63" s="46" t="str">
        <x:v>Open - verify or implement</x:v>
      </x:c>
      <x:c r="F63" s="46" t="str">
        <x:v>Domain leads + product owner</x:v>
      </x:c>
      <x:c r="G63" s="46" t="str">
        <x:v>LEG03,SRC09</x:v>
      </x:c>
      <x:c r="H63" s="46" t="str">
        <x:v>G5 End-to-end transactions</x:v>
      </x:c>
    </x:row>
    <x:row r="64" ht="48" customHeight="1">
      <x:c r="A64" s="46" t="str">
        <x:v>DOM09</x:v>
      </x:c>
      <x:c r="B64" s="46" t="str">
        <x:v>P1</x:v>
      </x:c>
      <x:c r="C64" s="46" t="str">
        <x:v>Complete retained business domains</x:v>
      </x:c>
      <x:c r="D64" s="46" t="str">
        <x:v>Complete prediction settlement</x:v>
      </x:c>
      <x:c r="E64" s="46" t="str">
        <x:v>Open - verify or implement</x:v>
      </x:c>
      <x:c r="F64" s="46" t="str">
        <x:v>Domain leads + product owner</x:v>
      </x:c>
      <x:c r="G64" s="46" t="str">
        <x:v>DOM08</x:v>
      </x:c>
      <x:c r="H64" s="46" t="str">
        <x:v>G5 End-to-end transactions</x:v>
      </x:c>
    </x:row>
    <x:row r="65" ht="48" customHeight="1">
      <x:c r="A65" s="46" t="str">
        <x:v>DOM10</x:v>
      </x:c>
      <x:c r="B65" s="46" t="str">
        <x:v>P1</x:v>
      </x:c>
      <x:c r="C65" s="46" t="str">
        <x:v>Complete retained business domains</x:v>
      </x:c>
      <x:c r="D65" s="46" t="str">
        <x:v>Define event schemas and consumers</x:v>
      </x:c>
      <x:c r="E65" s="46" t="str">
        <x:v>Open - verify or implement</x:v>
      </x:c>
      <x:c r="F65" s="46" t="str">
        <x:v>Domain leads + product owner</x:v>
      </x:c>
      <x:c r="G65" s="46" t="str">
        <x:v>SRC08</x:v>
      </x:c>
      <x:c r="H65" s="46" t="str">
        <x:v>G5 End-to-end transactions</x:v>
      </x:c>
    </x:row>
    <x:row r="66" ht="48" customHeight="1">
      <x:c r="A66" s="46" t="str">
        <x:v>DOM11</x:v>
      </x:c>
      <x:c r="B66" s="46" t="str">
        <x:v>P1</x:v>
      </x:c>
      <x:c r="C66" s="46" t="str">
        <x:v>Complete retained business domains</x:v>
      </x:c>
      <x:c r="D66" s="46" t="str">
        <x:v>Verify football content completeness</x:v>
      </x:c>
      <x:c r="E66" s="46" t="str">
        <x:v>Open - verify or implement</x:v>
      </x:c>
      <x:c r="F66" s="46" t="str">
        <x:v>Domain leads + product owner</x:v>
      </x:c>
      <x:c r="G66" s="46" t="str">
        <x:v>PUB01</x:v>
      </x:c>
      <x:c r="H66" s="46" t="str">
        <x:v>G5 End-to-end transactions</x:v>
      </x:c>
    </x:row>
    <x:row r="67" ht="48" customHeight="1">
      <x:c r="A67" s="46" t="str">
        <x:v>DOM12</x:v>
      </x:c>
      <x:c r="B67" s="46" t="str">
        <x:v>P2</x:v>
      </x:c>
      <x:c r="C67" s="46" t="str">
        <x:v>Complete retained business domains</x:v>
      </x:c>
      <x:c r="D67" s="46" t="str">
        <x:v>Retire only classified dead capability</x:v>
      </x:c>
      <x:c r="E67" s="46" t="str">
        <x:v>Open - verify or implement</x:v>
      </x:c>
      <x:c r="F67" s="46" t="str">
        <x:v>Domain leads + product owner</x:v>
      </x:c>
      <x:c r="G67" s="46" t="str">
        <x:v>DAT03,SRC09</x:v>
      </x:c>
      <x:c r="H67" s="46" t="str">
        <x:v>G5 End-to-end transactions</x:v>
      </x:c>
    </x:row>
    <x:row r="68" ht="48" customHeight="1">
      <x:c r="A68" s="46" t="str">
        <x:v>DAT01</x:v>
      </x:c>
      <x:c r="B68" s="46" t="str">
        <x:v>P1</x:v>
      </x:c>
      <x:c r="C68" s="46" t="str">
        <x:v>Data migration and recovery</x:v>
      </x:c>
      <x:c r="D68" s="46" t="str">
        <x:v>Refresh authoritative source inventory</x:v>
      </x:c>
      <x:c r="E68" s="46" t="str">
        <x:v>Open - verify or implement</x:v>
      </x:c>
      <x:c r="F68" s="46" t="str">
        <x:v>Data/platform engineer + backup owner</x:v>
      </x:c>
      <x:c r="G68" s="46" t="str">
        <x:v>SRC01,SEC06</x:v>
      </x:c>
      <x:c r="H68" s="46" t="str">
        <x:v>G4 Data authority</x:v>
      </x:c>
    </x:row>
    <x:row r="69" ht="48" customHeight="1">
      <x:c r="A69" s="46" t="str">
        <x:v>DAT02</x:v>
      </x:c>
      <x:c r="B69" s="46" t="str">
        <x:v>P1</x:v>
      </x:c>
      <x:c r="C69" s="46" t="str">
        <x:v>Data migration and recovery</x:v>
      </x:c>
      <x:c r="D69" s="46" t="str">
        <x:v>Create immutable migration snapshot</x:v>
      </x:c>
      <x:c r="E69" s="46" t="str">
        <x:v>Open - verify or implement</x:v>
      </x:c>
      <x:c r="F69" s="46" t="str">
        <x:v>Data/platform engineer + backup owner</x:v>
      </x:c>
      <x:c r="G69" s="46" t="str">
        <x:v>DAT01</x:v>
      </x:c>
      <x:c r="H69" s="46" t="str">
        <x:v>G4 Data authority</x:v>
      </x:c>
    </x:row>
    <x:row r="70" ht="48" customHeight="1">
      <x:c r="A70" s="46" t="str">
        <x:v>DAT03</x:v>
      </x:c>
      <x:c r="B70" s="46" t="str">
        <x:v>P1</x:v>
      </x:c>
      <x:c r="C70" s="46" t="str">
        <x:v>Data migration and recovery</x:v>
      </x:c>
      <x:c r="D70" s="46" t="str">
        <x:v>Expand per-object disposition register</x:v>
      </x:c>
      <x:c r="E70" s="46" t="str">
        <x:v>Open - verify or implement</x:v>
      </x:c>
      <x:c r="F70" s="46" t="str">
        <x:v>Data/platform engineer + backup owner</x:v>
      </x:c>
      <x:c r="G70" s="46" t="str">
        <x:v>DAT01,SRC08</x:v>
      </x:c>
      <x:c r="H70" s="46" t="str">
        <x:v>G4 Data authority</x:v>
      </x:c>
    </x:row>
    <x:row r="71" ht="48" customHeight="1">
      <x:c r="A71" s="46" t="str">
        <x:v>DAT04</x:v>
      </x:c>
      <x:c r="B71" s="46" t="str">
        <x:v>P1</x:v>
      </x:c>
      <x:c r="C71" s="46" t="str">
        <x:v>Data migration and recovery</x:v>
      </x:c>
      <x:c r="D71" s="46" t="str">
        <x:v>Port the deployed function set</x:v>
      </x:c>
      <x:c r="E71" s="46" t="str">
        <x:v>Open - verify or implement</x:v>
      </x:c>
      <x:c r="F71" s="46" t="str">
        <x:v>Data/platform engineer + backup owner</x:v>
      </x:c>
      <x:c r="G71" s="46" t="str">
        <x:v>DAT03</x:v>
      </x:c>
      <x:c r="H71" s="46" t="str">
        <x:v>G4 Data authority</x:v>
      </x:c>
    </x:row>
    <x:row r="72" ht="48" customHeight="1">
      <x:c r="A72" s="46" t="str">
        <x:v>DAT05</x:v>
      </x:c>
      <x:c r="B72" s="46" t="str">
        <x:v>P1</x:v>
      </x:c>
      <x:c r="C72" s="46" t="str">
        <x:v>Data migration and recovery</x:v>
      </x:c>
      <x:c r="D72" s="46" t="str">
        <x:v>Port or retire scheduled jobs</x:v>
      </x:c>
      <x:c r="E72" s="46" t="str">
        <x:v>Open - verify or implement</x:v>
      </x:c>
      <x:c r="F72" s="46" t="str">
        <x:v>Data/platform engineer + backup owner</x:v>
      </x:c>
      <x:c r="G72" s="46" t="str">
        <x:v>DAT03,OPS03</x:v>
      </x:c>
      <x:c r="H72" s="46" t="str">
        <x:v>G4 Data authority</x:v>
      </x:c>
    </x:row>
    <x:row r="73" ht="48" customHeight="1">
      <x:c r="A73" s="46" t="str">
        <x:v>DAT06</x:v>
      </x:c>
      <x:c r="B73" s="46" t="str">
        <x:v>P1</x:v>
      </x:c>
      <x:c r="C73" s="46" t="str">
        <x:v>Data migration and recovery</x:v>
      </x:c>
      <x:c r="D73" s="46" t="str">
        <x:v>Translate security contracts</x:v>
      </x:c>
      <x:c r="E73" s="46" t="str">
        <x:v>Open - verify or implement</x:v>
      </x:c>
      <x:c r="F73" s="46" t="str">
        <x:v>Data/platform engineer + backup owner</x:v>
      </x:c>
      <x:c r="G73" s="46" t="str">
        <x:v>DAT03,AUT12</x:v>
      </x:c>
      <x:c r="H73" s="46" t="str">
        <x:v>G4 Data authority</x:v>
      </x:c>
    </x:row>
    <x:row r="74" ht="48" customHeight="1">
      <x:c r="A74" s="46" t="str">
        <x:v>DAT07</x:v>
      </x:c>
      <x:c r="B74" s="46" t="str">
        <x:v>P1</x:v>
      </x:c>
      <x:c r="C74" s="46" t="str">
        <x:v>Data migration and recovery</x:v>
      </x:c>
      <x:c r="D74" s="46" t="str">
        <x:v>Prove target database fit</x:v>
      </x:c>
      <x:c r="E74" s="46" t="str">
        <x:v>Open - verify or implement</x:v>
      </x:c>
      <x:c r="F74" s="46" t="str">
        <x:v>Data/platform engineer + backup owner</x:v>
      </x:c>
      <x:c r="G74" s="46" t="str">
        <x:v>SRC07,DAT06</x:v>
      </x:c>
      <x:c r="H74" s="46" t="str">
        <x:v>G4 Data authority</x:v>
      </x:c>
    </x:row>
    <x:row r="75" ht="48" customHeight="1">
      <x:c r="A75" s="46" t="str">
        <x:v>DAT08</x:v>
      </x:c>
      <x:c r="B75" s="46" t="str">
        <x:v>P1</x:v>
      </x:c>
      <x:c r="C75" s="46" t="str">
        <x:v>Data migration and recovery</x:v>
      </x:c>
      <x:c r="D75" s="46" t="str">
        <x:v>Recover all original media</x:v>
      </x:c>
      <x:c r="E75" s="46" t="str">
        <x:v>Open - verify or implement</x:v>
      </x:c>
      <x:c r="F75" s="46" t="str">
        <x:v>Data/platform engineer + backup owner</x:v>
      </x:c>
      <x:c r="G75" s="46" t="str">
        <x:v>DAT01,SEC06</x:v>
      </x:c>
      <x:c r="H75" s="46" t="str">
        <x:v>G4 Data authority</x:v>
      </x:c>
    </x:row>
    <x:row r="76" ht="48" customHeight="1">
      <x:c r="A76" s="46" t="str">
        <x:v>DAT09</x:v>
      </x:c>
      <x:c r="B76" s="46" t="str">
        <x:v>P1</x:v>
      </x:c>
      <x:c r="C76" s="46" t="str">
        <x:v>Data migration and recovery</x:v>
      </x:c>
      <x:c r="D76" s="46" t="str">
        <x:v>Automate backup and restore drills</x:v>
      </x:c>
      <x:c r="E76" s="46" t="str">
        <x:v>Open - verify or implement</x:v>
      </x:c>
      <x:c r="F76" s="46" t="str">
        <x:v>Data/platform engineer + backup owner</x:v>
      </x:c>
      <x:c r="G76" s="46" t="str">
        <x:v>DAT02,DAT08</x:v>
      </x:c>
      <x:c r="H76" s="46" t="str">
        <x:v>G4 Data authority</x:v>
      </x:c>
    </x:row>
    <x:row r="77" ht="48" customHeight="1">
      <x:c r="A77" s="46" t="str">
        <x:v>DAT10</x:v>
      </x:c>
      <x:c r="B77" s="46" t="str">
        <x:v>P1</x:v>
      </x:c>
      <x:c r="C77" s="46" t="str">
        <x:v>Data migration and recovery</x:v>
      </x:c>
      <x:c r="D77" s="46" t="str">
        <x:v>Reconcile identifiers and accounting units</x:v>
      </x:c>
      <x:c r="E77" s="46" t="str">
        <x:v>Open - verify or implement</x:v>
      </x:c>
      <x:c r="F77" s="46" t="str">
        <x:v>Data/platform engineer + backup owner</x:v>
      </x:c>
      <x:c r="G77" s="46" t="str">
        <x:v>DAT02,PAY03</x:v>
      </x:c>
      <x:c r="H77" s="46" t="str">
        <x:v>G4 Data authority</x:v>
      </x:c>
    </x:row>
    <x:row r="78" ht="48" customHeight="1">
      <x:c r="A78" s="46" t="str">
        <x:v>DAT11</x:v>
      </x:c>
      <x:c r="B78" s="46" t="str">
        <x:v>P1</x:v>
      </x:c>
      <x:c r="C78" s="46" t="str">
        <x:v>Data migration and recovery</x:v>
      </x:c>
      <x:c r="D78" s="46" t="str">
        <x:v>Design privacy-aware archival retention</x:v>
      </x:c>
      <x:c r="E78" s="46" t="str">
        <x:v>Open - verify or implement</x:v>
      </x:c>
      <x:c r="F78" s="46" t="str">
        <x:v>Data/platform engineer + backup owner</x:v>
      </x:c>
      <x:c r="G78" s="46" t="str">
        <x:v>LEG04,DAT09</x:v>
      </x:c>
      <x:c r="H78" s="46" t="str">
        <x:v>G4 Data authority</x:v>
      </x:c>
    </x:row>
    <x:row r="79" ht="48" customHeight="1">
      <x:c r="A79" s="46" t="str">
        <x:v>DAT12</x:v>
      </x:c>
      <x:c r="B79" s="46" t="str">
        <x:v>P1</x:v>
      </x:c>
      <x:c r="C79" s="46" t="str">
        <x:v>Data migration and recovery</x:v>
      </x:c>
      <x:c r="D79" s="46" t="str">
        <x:v>Prove rollback after new writes</x:v>
      </x:c>
      <x:c r="E79" s="46" t="str">
        <x:v>Open - verify or implement</x:v>
      </x:c>
      <x:c r="F79" s="46" t="str">
        <x:v>Data/platform engineer + backup owner</x:v>
      </x:c>
      <x:c r="G79" s="46" t="str">
        <x:v>PAY08,DAT09</x:v>
      </x:c>
      <x:c r="H79" s="46" t="str">
        <x:v>G4 Data authority</x:v>
      </x:c>
    </x:row>
    <x:row r="80" ht="48" customHeight="1">
      <x:c r="A80" s="46" t="str">
        <x:v>PUB01</x:v>
      </x:c>
      <x:c r="B80" s="46" t="str">
        <x:v>P1</x:v>
      </x:c>
      <x:c r="C80" s="46" t="str">
        <x:v>Public content and publishing</x:v>
      </x:c>
      <x:c r="D80" s="46" t="str">
        <x:v>Bind content to approved sources</x:v>
      </x:c>
      <x:c r="E80" s="46" t="str">
        <x:v>Open - verify or implement</x:v>
      </x:c>
      <x:c r="F80" s="46" t="str">
        <x:v>Content-platform engineer + editorial owner</x:v>
      </x:c>
      <x:c r="G80" s="46" t="str">
        <x:v>SRC08</x:v>
      </x:c>
      <x:c r="H80" s="46" t="str">
        <x:v>G3 Integrated source</x:v>
      </x:c>
    </x:row>
    <x:row r="81" ht="48" customHeight="1">
      <x:c r="A81" s="46" t="str">
        <x:v>PUB02</x:v>
      </x:c>
      <x:c r="B81" s="46" t="str">
        <x:v>P1</x:v>
      </x:c>
      <x:c r="C81" s="46" t="str">
        <x:v>Public content and publishing</x:v>
      </x:c>
      <x:c r="D81" s="46" t="str">
        <x:v>Publish complete immutable snapshots</x:v>
      </x:c>
      <x:c r="E81" s="46" t="str">
        <x:v>Open - verify or implement</x:v>
      </x:c>
      <x:c r="F81" s="46" t="str">
        <x:v>Content-platform engineer + editorial owner</x:v>
      </x:c>
      <x:c r="G81" s="46" t="str">
        <x:v>SRC04,PUB01</x:v>
      </x:c>
      <x:c r="H81" s="46" t="str">
        <x:v>G3 Integrated source</x:v>
      </x:c>
    </x:row>
    <x:row r="82" ht="48" customHeight="1">
      <x:c r="A82" s="46" t="str">
        <x:v>PUB03</x:v>
      </x:c>
      <x:c r="B82" s="46" t="str">
        <x:v>P1</x:v>
      </x:c>
      <x:c r="C82" s="46" t="str">
        <x:v>Public content and publishing</x:v>
      </x:c>
      <x:c r="D82" s="46" t="str">
        <x:v>Verify media bytes and policy</x:v>
      </x:c>
      <x:c r="E82" s="46" t="str">
        <x:v>Open - verify or implement</x:v>
      </x:c>
      <x:c r="F82" s="46" t="str">
        <x:v>Content-platform engineer + editorial owner</x:v>
      </x:c>
      <x:c r="G82" s="46" t="str">
        <x:v>PUB02</x:v>
      </x:c>
      <x:c r="H82" s="46" t="str">
        <x:v>G3 Integrated source</x:v>
      </x:c>
    </x:row>
    <x:row r="83" ht="48" customHeight="1">
      <x:c r="A83" s="46" t="str">
        <x:v>PUB04</x:v>
      </x:c>
      <x:c r="B83" s="46" t="str">
        <x:v>P1</x:v>
      </x:c>
      <x:c r="C83" s="46" t="str">
        <x:v>Public content and publishing</x:v>
      </x:c>
      <x:c r="D83" s="46" t="str">
        <x:v>Define freshness and withdrawal</x:v>
      </x:c>
      <x:c r="E83" s="46" t="str">
        <x:v>Open - verify or implement</x:v>
      </x:c>
      <x:c r="F83" s="46" t="str">
        <x:v>Content-platform engineer + editorial owner</x:v>
      </x:c>
      <x:c r="G83" s="46" t="str">
        <x:v>PUB02,PUB03</x:v>
      </x:c>
      <x:c r="H83" s="46" t="str">
        <x:v>G3 Integrated source</x:v>
      </x:c>
    </x:row>
    <x:row r="84" ht="48" customHeight="1">
      <x:c r="A84" s="46" t="str">
        <x:v>PUB05</x:v>
      </x:c>
      <x:c r="B84" s="46" t="str">
        <x:v>P1</x:v>
      </x:c>
      <x:c r="C84" s="46" t="str">
        <x:v>Public content and publishing</x:v>
      </x:c>
      <x:c r="D84" s="46" t="str">
        <x:v>Complete operator API and UI integration</x:v>
      </x:c>
      <x:c r="E84" s="46" t="str">
        <x:v>Open - verify or implement</x:v>
      </x:c>
      <x:c r="F84" s="46" t="str">
        <x:v>Content-platform engineer + editorial owner</x:v>
      </x:c>
      <x:c r="G84" s="46" t="str">
        <x:v>SRC05,AUT09</x:v>
      </x:c>
      <x:c r="H84" s="46" t="str">
        <x:v>G3 Integrated source</x:v>
      </x:c>
    </x:row>
    <x:row r="85" ht="48" customHeight="1">
      <x:c r="A85" s="46" t="str">
        <x:v>PUB06</x:v>
      </x:c>
      <x:c r="B85" s="46" t="str">
        <x:v>P1</x:v>
      </x:c>
      <x:c r="C85" s="46" t="str">
        <x:v>Public content and publishing</x:v>
      </x:c>
      <x:c r="D85" s="46" t="str">
        <x:v>Verify editorial confirmation and recovery</x:v>
      </x:c>
      <x:c r="E85" s="46" t="str">
        <x:v>Open - verify or implement</x:v>
      </x:c>
      <x:c r="F85" s="46" t="str">
        <x:v>Content-platform engineer + editorial owner</x:v>
      </x:c>
      <x:c r="G85" s="46" t="str">
        <x:v>PUB05</x:v>
      </x:c>
      <x:c r="H85" s="46" t="str">
        <x:v>G3 Integrated source</x:v>
      </x:c>
    </x:row>
    <x:row r="86" ht="48" customHeight="1">
      <x:c r="A86" s="46" t="str">
        <x:v>PUB07</x:v>
      </x:c>
      <x:c r="B86" s="46" t="str">
        <x:v>P2</x:v>
      </x:c>
      <x:c r="C86" s="46" t="str">
        <x:v>Public content and publishing</x:v>
      </x:c>
      <x:c r="D86" s="46" t="str">
        <x:v>Scale read queries and pagination</x:v>
      </x:c>
      <x:c r="E86" s="46" t="str">
        <x:v>Open - verify or implement</x:v>
      </x:c>
      <x:c r="F86" s="46" t="str">
        <x:v>Content-platform engineer + editorial owner</x:v>
      </x:c>
      <x:c r="G86" s="46" t="str">
        <x:v>DAT07,PUB02</x:v>
      </x:c>
      <x:c r="H86" s="46" t="str">
        <x:v>G3 Integrated source</x:v>
      </x:c>
    </x:row>
    <x:row r="87" ht="48" customHeight="1">
      <x:c r="A87" s="46" t="str">
        <x:v>PUB08</x:v>
      </x:c>
      <x:c r="B87" s="46" t="str">
        <x:v>P1</x:v>
      </x:c>
      <x:c r="C87" s="46" t="str">
        <x:v>Public content and publishing</x:v>
      </x:c>
      <x:c r="D87" s="46" t="str">
        <x:v>Prove all-club public routing</x:v>
      </x:c>
      <x:c r="E87" s="46" t="str">
        <x:v>Open - verify or implement</x:v>
      </x:c>
      <x:c r="F87" s="46" t="str">
        <x:v>Content-platform engineer + editorial owner</x:v>
      </x:c>
      <x:c r="G87" s="46" t="str">
        <x:v>SRC09,LEG01</x:v>
      </x:c>
      <x:c r="H87" s="46" t="str">
        <x:v>G3 Integrated source</x:v>
      </x:c>
    </x:row>
    <x:row r="88" ht="48" customHeight="1">
      <x:c r="A88" s="46" t="str">
        <x:v>PUB09</x:v>
      </x:c>
      <x:c r="B88" s="46" t="str">
        <x:v>P1</x:v>
      </x:c>
      <x:c r="C88" s="46" t="str">
        <x:v>Public content and publishing</x:v>
      </x:c>
      <x:c r="D88" s="46" t="str">
        <x:v>Complete public web acceptance</x:v>
      </x:c>
      <x:c r="E88" s="46" t="str">
        <x:v>Open - verify or implement</x:v>
      </x:c>
      <x:c r="F88" s="46" t="str">
        <x:v>Content-platform engineer + editorial owner</x:v>
      </x:c>
      <x:c r="G88" s="46" t="str">
        <x:v>PUB08,UX01,WEB01</x:v>
      </x:c>
      <x:c r="H88" s="46" t="str">
        <x:v>G3 Integrated source</x:v>
      </x:c>
    </x:row>
    <x:row r="89" ht="48" customHeight="1">
      <x:c r="A89" s="46" t="str">
        <x:v>PUB10</x:v>
      </x:c>
      <x:c r="B89" s="46" t="str">
        <x:v>P1</x:v>
      </x:c>
      <x:c r="C89" s="46" t="str">
        <x:v>Public content and publishing</x:v>
      </x:c>
      <x:c r="D89" s="46" t="str">
        <x:v>Review content ingestion and AI boundaries</x:v>
      </x:c>
      <x:c r="E89" s="46" t="str">
        <x:v>Open - verify or implement</x:v>
      </x:c>
      <x:c r="F89" s="46" t="str">
        <x:v>Content-platform engineer + editorial owner</x:v>
      </x:c>
      <x:c r="G89" s="46" t="str">
        <x:v>PUB01,AUT09</x:v>
      </x:c>
      <x:c r="H89" s="46" t="str">
        <x:v>G3 Integrated source</x:v>
      </x:c>
    </x:row>
    <x:row r="90" ht="48" customHeight="1">
      <x:c r="A90" s="46" t="str">
        <x:v>NAT01</x:v>
      </x:c>
      <x:c r="B90" s="46" t="str">
        <x:v>P1</x:v>
      </x:c>
      <x:c r="C90" s="46" t="str">
        <x:v>Native apps and platform completion</x:v>
      </x:c>
      <x:c r="D90" s="46" t="str">
        <x:v>Install reviewed native candidate source</x:v>
      </x:c>
      <x:c r="E90" s="46" t="str">
        <x:v>Open - verify or implement</x:v>
      </x:c>
      <x:c r="F90" s="46" t="str">
        <x:v>Flutter + Android + iOS leads</x:v>
      </x:c>
      <x:c r="G90" s="46" t="str">
        <x:v>SRC02,SRC03</x:v>
      </x:c>
      <x:c r="H90" s="46" t="str">
        <x:v>G5 Integrated native clients</x:v>
      </x:c>
    </x:row>
    <x:row r="91" ht="48" customHeight="1">
      <x:c r="A91" s="46" t="str">
        <x:v>NAT02</x:v>
      </x:c>
      <x:c r="B91" s="46" t="str">
        <x:v>P1</x:v>
      </x:c>
      <x:c r="C91" s="46" t="str">
        <x:v>Native apps and platform completion</x:v>
      </x:c>
      <x:c r="D91" s="46" t="str">
        <x:v>Compile real native hosts</x:v>
      </x:c>
      <x:c r="E91" s="46" t="str">
        <x:v>Open - verify or implement</x:v>
      </x:c>
      <x:c r="F91" s="46" t="str">
        <x:v>Flutter + Android + iOS leads</x:v>
      </x:c>
      <x:c r="G91" s="46" t="str">
        <x:v>NAT01,CI10</x:v>
      </x:c>
      <x:c r="H91" s="46" t="str">
        <x:v>G5 Integrated native clients</x:v>
      </x:c>
    </x:row>
    <x:row r="92" ht="48" customHeight="1">
      <x:c r="A92" s="46" t="str">
        <x:v>NAT03</x:v>
      </x:c>
      <x:c r="B92" s="46" t="str">
        <x:v>P1</x:v>
      </x:c>
      <x:c r="C92" s="46" t="str">
        <x:v>Native apps and platform completion</x:v>
      </x:c>
      <x:c r="D92" s="46" t="str">
        <x:v>Validate encrypted recovery on devices</x:v>
      </x:c>
      <x:c r="E92" s="46" t="str">
        <x:v>Open - verify or implement</x:v>
      </x:c>
      <x:c r="F92" s="46" t="str">
        <x:v>Flutter + Android + iOS leads</x:v>
      </x:c>
      <x:c r="G92" s="46" t="str">
        <x:v>NAT02</x:v>
      </x:c>
      <x:c r="H92" s="46" t="str">
        <x:v>G5 Integrated native clients</x:v>
      </x:c>
    </x:row>
    <x:row r="93" ht="48" customHeight="1">
      <x:c r="A93" s="46" t="str">
        <x:v>NAT04</x:v>
      </x:c>
      <x:c r="B93" s="46" t="str">
        <x:v>P1</x:v>
      </x:c>
      <x:c r="C93" s="46" t="str">
        <x:v>Native apps and platform completion</x:v>
      </x:c>
      <x:c r="D93" s="46" t="str">
        <x:v>Register shared native components</x:v>
      </x:c>
      <x:c r="E93" s="46" t="str">
        <x:v>Open - verify or implement</x:v>
      </x:c>
      <x:c r="F93" s="46" t="str">
        <x:v>Flutter + Android + iOS leads</x:v>
      </x:c>
      <x:c r="G93" s="46" t="str">
        <x:v>NAT03,AUT02</x:v>
      </x:c>
      <x:c r="H93" s="46" t="str">
        <x:v>G5 Integrated native clients</x:v>
      </x:c>
    </x:row>
    <x:row r="94" ht="48" customHeight="1">
      <x:c r="A94" s="46" t="str">
        <x:v>NAT05</x:v>
      </x:c>
      <x:c r="B94" s="46" t="str">
        <x:v>P1</x:v>
      </x:c>
      <x:c r="C94" s="46" t="str">
        <x:v>Native apps and platform completion</x:v>
      </x:c>
      <x:c r="D94" s="46" t="str">
        <x:v>Design and test iOS payment fallback</x:v>
      </x:c>
      <x:c r="E94" s="46" t="str">
        <x:v>Open - verify or implement</x:v>
      </x:c>
      <x:c r="F94" s="46" t="str">
        <x:v>Flutter + Android + iOS leads</x:v>
      </x:c>
      <x:c r="G94" s="46" t="str">
        <x:v>NAT04,PAY03</x:v>
      </x:c>
      <x:c r="H94" s="46" t="str">
        <x:v>G5 Integrated native clients</x:v>
      </x:c>
    </x:row>
    <x:row r="95" ht="48" customHeight="1">
      <x:c r="A95" s="46" t="str">
        <x:v>NAT06</x:v>
      </x:c>
      <x:c r="B95" s="46" t="str">
        <x:v>P1</x:v>
      </x:c>
      <x:c r="C95" s="46" t="str">
        <x:v>Native apps and platform completion</x:v>
      </x:c>
      <x:c r="D95" s="46" t="str">
        <x:v>Test Android carrier and SIM behavior</x:v>
      </x:c>
      <x:c r="E95" s="46" t="str">
        <x:v>Open - verify or implement</x:v>
      </x:c>
      <x:c r="F95" s="46" t="str">
        <x:v>Flutter + Android + iOS leads</x:v>
      </x:c>
      <x:c r="G95" s="46" t="str">
        <x:v>NAT04,PAY03</x:v>
      </x:c>
      <x:c r="H95" s="46" t="str">
        <x:v>G5 Integrated native clients</x:v>
      </x:c>
    </x:row>
    <x:row r="96" ht="48" customHeight="1">
      <x:c r="A96" s="46" t="str">
        <x:v>NAT07</x:v>
      </x:c>
      <x:c r="B96" s="46" t="str">
        <x:v>P1</x:v>
      </x:c>
      <x:c r="C96" s="46" t="str">
        <x:v>Native apps and platform completion</x:v>
      </x:c>
      <x:c r="D96" s="46" t="str">
        <x:v>Wire accessible review and lifecycle</x:v>
      </x:c>
      <x:c r="E96" s="46" t="str">
        <x:v>Open - verify or implement</x:v>
      </x:c>
      <x:c r="F96" s="46" t="str">
        <x:v>Flutter + Android + iOS leads</x:v>
      </x:c>
      <x:c r="G96" s="46" t="str">
        <x:v>NAT04,UX02</x:v>
      </x:c>
      <x:c r="H96" s="46" t="str">
        <x:v>G5 Integrated native clients</x:v>
      </x:c>
    </x:row>
    <x:row r="97" ht="48" customHeight="1">
      <x:c r="A97" s="46" t="str">
        <x:v>NAT08</x:v>
      </x:c>
      <x:c r="B97" s="46" t="str">
        <x:v>P1</x:v>
      </x:c>
      <x:c r="C97" s="46" t="str">
        <x:v>Native apps and platform completion</x:v>
      </x:c>
      <x:c r="D97" s="46" t="str">
        <x:v>Handle update and reinstall recovery</x:v>
      </x:c>
      <x:c r="E97" s="46" t="str">
        <x:v>Open - verify or implement</x:v>
      </x:c>
      <x:c r="F97" s="46" t="str">
        <x:v>Flutter + Android + iOS leads</x:v>
      </x:c>
      <x:c r="G97" s="46" t="str">
        <x:v>PAY05,NAT03</x:v>
      </x:c>
      <x:c r="H97" s="46" t="str">
        <x:v>G5 Integrated native clients</x:v>
      </x:c>
    </x:row>
    <x:row r="98" ht="48" customHeight="1">
      <x:c r="A98" s="46" t="str">
        <x:v>NAT09</x:v>
      </x:c>
      <x:c r="B98" s="46" t="str">
        <x:v>P1</x:v>
      </x:c>
      <x:c r="C98" s="46" t="str">
        <x:v>Native apps and platform completion</x:v>
      </x:c>
      <x:c r="D98" s="46" t="str">
        <x:v>Prove ten signed identities</x:v>
      </x:c>
      <x:c r="E98" s="46" t="str">
        <x:v>Open - verify or implement</x:v>
      </x:c>
      <x:c r="F98" s="46" t="str">
        <x:v>Flutter + Android + iOS leads</x:v>
      </x:c>
      <x:c r="G98" s="46" t="str">
        <x:v>CI06,SEC04,LEG01</x:v>
      </x:c>
      <x:c r="H98" s="46" t="str">
        <x:v>G5 Integrated native clients</x:v>
      </x:c>
    </x:row>
    <x:row r="99" ht="48" customHeight="1">
      <x:c r="A99" s="46" t="str">
        <x:v>NAT10</x:v>
      </x:c>
      <x:c r="B99" s="46" t="str">
        <x:v>P1</x:v>
      </x:c>
      <x:c r="C99" s="46" t="str">
        <x:v>Native apps and platform completion</x:v>
      </x:c>
      <x:c r="D99" s="46" t="str">
        <x:v>Verify native permissions and deep links</x:v>
      </x:c>
      <x:c r="E99" s="46" t="str">
        <x:v>Open - verify or implement</x:v>
      </x:c>
      <x:c r="F99" s="46" t="str">
        <x:v>Flutter + Android + iOS leads</x:v>
      </x:c>
      <x:c r="G99" s="46" t="str">
        <x:v>NAT09,AUT12</x:v>
      </x:c>
      <x:c r="H99" s="46" t="str">
        <x:v>G5 Integrated native clients</x:v>
      </x:c>
    </x:row>
    <x:row r="100" ht="48" customHeight="1">
      <x:c r="A100" s="46" t="str">
        <x:v>NAT11</x:v>
      </x:c>
      <x:c r="B100" s="46" t="str">
        <x:v>P2</x:v>
      </x:c>
      <x:c r="C100" s="46" t="str">
        <x:v>Native apps and platform completion</x:v>
      </x:c>
      <x:c r="D100" s="46" t="str">
        <x:v>Measure native performance</x:v>
      </x:c>
      <x:c r="E100" s="46" t="str">
        <x:v>Open - verify or implement</x:v>
      </x:c>
      <x:c r="F100" s="46" t="str">
        <x:v>Flutter + Android + iOS leads</x:v>
      </x:c>
      <x:c r="G100" s="46" t="str">
        <x:v>NAT04,OPS02</x:v>
      </x:c>
      <x:c r="H100" s="46" t="str">
        <x:v>G5 Integrated native clients</x:v>
      </x:c>
    </x:row>
    <x:row r="101" ht="48" customHeight="1">
      <x:c r="A101" s="46" t="str">
        <x:v>NAT12</x:v>
      </x:c>
      <x:c r="B101" s="46" t="str">
        <x:v>P1</x:v>
      </x:c>
      <x:c r="C101" s="46" t="str">
        <x:v>Native apps and platform completion</x:v>
      </x:c>
      <x:c r="D101" s="46" t="str">
        <x:v>Complete authenticated device journeys</x:v>
      </x:c>
      <x:c r="E101" s="46" t="str">
        <x:v>Open - verify or implement</x:v>
      </x:c>
      <x:c r="F101" s="46" t="str">
        <x:v>Flutter + Android + iOS leads</x:v>
      </x:c>
      <x:c r="G101" s="46" t="str">
        <x:v>NAT05,NAT06,NAT07,PAY10,DOM01</x:v>
      </x:c>
      <x:c r="H101" s="46" t="str">
        <x:v>G5 Integrated native clients</x:v>
      </x:c>
    </x:row>
    <x:row r="102" ht="48" customHeight="1">
      <x:c r="A102" s="46" t="str">
        <x:v>WEB01</x:v>
      </x:c>
      <x:c r="B102" s="46" t="str">
        <x:v>P1</x:v>
      </x:c>
      <x:c r="C102" s="46" t="str">
        <x:v>Web and admin PWA</x:v>
      </x:c>
      <x:c r="D102" s="46" t="str">
        <x:v>Reconcile public/member/admin route matrix</x:v>
      </x:c>
      <x:c r="E102" s="46" t="str">
        <x:v>Open - verify or implement</x:v>
      </x:c>
      <x:c r="F102" s="46" t="str">
        <x:v>Web lead + operator product owner</x:v>
      </x:c>
      <x:c r="G102" s="46" t="str">
        <x:v>SRC08</x:v>
      </x:c>
      <x:c r="H102" s="46" t="str">
        <x:v>G5 Integrated web clients</x:v>
      </x:c>
    </x:row>
    <x:row r="103" ht="48" customHeight="1">
      <x:c r="A103" s="46" t="str">
        <x:v>WEB02</x:v>
      </x:c>
      <x:c r="B103" s="46" t="str">
        <x:v>P1</x:v>
      </x:c>
      <x:c r="C103" s="46" t="str">
        <x:v>Web and admin PWA</x:v>
      </x:c>
      <x:c r="D103" s="46" t="str">
        <x:v>Complete admin business operations</x:v>
      </x:c>
      <x:c r="E103" s="46" t="str">
        <x:v>Open - verify or implement</x:v>
      </x:c>
      <x:c r="F103" s="46" t="str">
        <x:v>Web lead + operator product owner</x:v>
      </x:c>
      <x:c r="G103" s="46" t="str">
        <x:v>AUT09,WEB01</x:v>
      </x:c>
      <x:c r="H103" s="46" t="str">
        <x:v>G5 Integrated web clients</x:v>
      </x:c>
    </x:row>
    <x:row r="104" ht="48" customHeight="1">
      <x:c r="A104" s="46" t="str">
        <x:v>WEB03</x:v>
      </x:c>
      <x:c r="B104" s="46" t="str">
        <x:v>P1</x:v>
      </x:c>
      <x:c r="C104" s="46" t="str">
        <x:v>Web and admin PWA</x:v>
      </x:c>
      <x:c r="D104" s="46" t="str">
        <x:v>Secure public/member caching</x:v>
      </x:c>
      <x:c r="E104" s="46" t="str">
        <x:v>Open - verify or implement</x:v>
      </x:c>
      <x:c r="F104" s="46" t="str">
        <x:v>Web lead + operator product owner</x:v>
      </x:c>
      <x:c r="G104" s="46" t="str">
        <x:v>AUT10,WEB01</x:v>
      </x:c>
      <x:c r="H104" s="46" t="str">
        <x:v>G5 Integrated web clients</x:v>
      </x:c>
    </x:row>
    <x:row r="105" ht="48" customHeight="1">
      <x:c r="A105" s="46" t="str">
        <x:v>WEB04</x:v>
      </x:c>
      <x:c r="B105" s="46" t="str">
        <x:v>P1</x:v>
      </x:c>
      <x:c r="C105" s="46" t="str">
        <x:v>Web and admin PWA</x:v>
      </x:c>
      <x:c r="D105" s="46" t="str">
        <x:v>Handle PWA version and draft lifecycle</x:v>
      </x:c>
      <x:c r="E105" s="46" t="str">
        <x:v>Open - verify or implement</x:v>
      </x:c>
      <x:c r="F105" s="46" t="str">
        <x:v>Web lead + operator product owner</x:v>
      </x:c>
      <x:c r="G105" s="46" t="str">
        <x:v>WEB03</x:v>
      </x:c>
      <x:c r="H105" s="46" t="str">
        <x:v>G5 Integrated web clients</x:v>
      </x:c>
    </x:row>
    <x:row r="106" ht="48" customHeight="1">
      <x:c r="A106" s="46" t="str">
        <x:v>WEB05</x:v>
      </x:c>
      <x:c r="B106" s="46" t="str">
        <x:v>P2</x:v>
      </x:c>
      <x:c r="C106" s="46" t="str">
        <x:v>Web and admin PWA</x:v>
      </x:c>
      <x:c r="D106" s="46" t="str">
        <x:v>Tighten CSP safely</x:v>
      </x:c>
      <x:c r="E106" s="46" t="str">
        <x:v>Open - verify or implement</x:v>
      </x:c>
      <x:c r="F106" s="46" t="str">
        <x:v>Web lead + operator product owner</x:v>
      </x:c>
      <x:c r="G106" s="46" t="str">
        <x:v>CI04,WEB01</x:v>
      </x:c>
      <x:c r="H106" s="46" t="str">
        <x:v>G5 Integrated web clients</x:v>
      </x:c>
    </x:row>
    <x:row r="107" ht="48" customHeight="1">
      <x:c r="A107" s="46" t="str">
        <x:v>WEB06</x:v>
      </x:c>
      <x:c r="B107" s="46" t="str">
        <x:v>P1</x:v>
      </x:c>
      <x:c r="C107" s="46" t="str">
        <x:v>Web and admin PWA</x:v>
      </x:c>
      <x:c r="D107" s="46" t="str">
        <x:v>Complete server error and conflict UX</x:v>
      </x:c>
      <x:c r="E107" s="46" t="str">
        <x:v>Open - verify or implement</x:v>
      </x:c>
      <x:c r="F107" s="46" t="str">
        <x:v>Web lead + operator product owner</x:v>
      </x:c>
      <x:c r="G107" s="46" t="str">
        <x:v>PAY04,AUT10</x:v>
      </x:c>
      <x:c r="H107" s="46" t="str">
        <x:v>G5 Integrated web clients</x:v>
      </x:c>
    </x:row>
    <x:row r="108" ht="48" customHeight="1">
      <x:c r="A108" s="46" t="str">
        <x:v>WEB07</x:v>
      </x:c>
      <x:c r="B108" s="46" t="str">
        <x:v>P1</x:v>
      </x:c>
      <x:c r="C108" s="46" t="str">
        <x:v>Web and admin PWA</x:v>
      </x:c>
      <x:c r="D108" s="46" t="str">
        <x:v>Verify uploads and exports</x:v>
      </x:c>
      <x:c r="E108" s="46" t="str">
        <x:v>Open - verify or implement</x:v>
      </x:c>
      <x:c r="F108" s="46" t="str">
        <x:v>Web lead + operator product owner</x:v>
      </x:c>
      <x:c r="G108" s="46" t="str">
        <x:v>AUT12</x:v>
      </x:c>
      <x:c r="H108" s="46" t="str">
        <x:v>G5 Integrated web clients</x:v>
      </x:c>
    </x:row>
    <x:row r="109" ht="48" customHeight="1">
      <x:c r="A109" s="46" t="str">
        <x:v>WEB08</x:v>
      </x:c>
      <x:c r="B109" s="46" t="str">
        <x:v>P1</x:v>
      </x:c>
      <x:c r="C109" s="46" t="str">
        <x:v>Web and admin PWA</x:v>
      </x:c>
      <x:c r="D109" s="46" t="str">
        <x:v>Verify responsive operator workspaces</x:v>
      </x:c>
      <x:c r="E109" s="46" t="str">
        <x:v>Open - verify or implement</x:v>
      </x:c>
      <x:c r="F109" s="46" t="str">
        <x:v>Web lead + operator product owner</x:v>
      </x:c>
      <x:c r="G109" s="46" t="str">
        <x:v>WEB02,UX02</x:v>
      </x:c>
      <x:c r="H109" s="46" t="str">
        <x:v>G5 Integrated web clients</x:v>
      </x:c>
    </x:row>
    <x:row r="110" ht="48" customHeight="1">
      <x:c r="A110" s="46" t="str">
        <x:v>WEB09</x:v>
      </x:c>
      <x:c r="B110" s="46" t="str">
        <x:v>P1</x:v>
      </x:c>
      <x:c r="C110" s="46" t="str">
        <x:v>Web and admin PWA</x:v>
      </x:c>
      <x:c r="D110" s="46" t="str">
        <x:v>Run real Cloudflare web runtime</x:v>
      </x:c>
      <x:c r="E110" s="46" t="str">
        <x:v>Open - verify or implement</x:v>
      </x:c>
      <x:c r="F110" s="46" t="str">
        <x:v>Web lead + operator product owner</x:v>
      </x:c>
      <x:c r="G110" s="46" t="str">
        <x:v>CI03,CI09,WEB01</x:v>
      </x:c>
      <x:c r="H110" s="46" t="str">
        <x:v>G5 Integrated web clients</x:v>
      </x:c>
    </x:row>
    <x:row r="111" ht="48" customHeight="1">
      <x:c r="A111" s="46" t="str">
        <x:v>WEB10</x:v>
      </x:c>
      <x:c r="B111" s="46" t="str">
        <x:v>P1</x:v>
      </x:c>
      <x:c r="C111" s="46" t="str">
        <x:v>Web and admin PWA</x:v>
      </x:c>
      <x:c r="D111" s="46" t="str">
        <x:v>Approve browser support and installed PWA</x:v>
      </x:c>
      <x:c r="E111" s="46" t="str">
        <x:v>Open - verify or implement</x:v>
      </x:c>
      <x:c r="F111" s="46" t="str">
        <x:v>Web lead + operator product owner</x:v>
      </x:c>
      <x:c r="G111" s="46" t="str">
        <x:v>WEB04,WEB08,WEB09</x:v>
      </x:c>
      <x:c r="H111" s="46" t="str">
        <x:v>G5 Integrated web clients</x:v>
      </x:c>
    </x:row>
    <x:row r="112" ht="48" customHeight="1">
      <x:c r="A112" s="46" t="str">
        <x:v>UX01</x:v>
      </x:c>
      <x:c r="B112" s="46" t="str">
        <x:v>P1</x:v>
      </x:c>
      <x:c r="C112" s="46" t="str">
        <x:v>Design, content and accessibility</x:v>
      </x:c>
      <x:c r="D112" s="46" t="str">
        <x:v>Unify design authority and adapters</x:v>
      </x:c>
      <x:c r="E112" s="46" t="str">
        <x:v>Open - verify or implement</x:v>
      </x:c>
      <x:c r="F112" s="46" t="str">
        <x:v>Design lead + accessibility reviewer</x:v>
      </x:c>
      <x:c r="G112" s="46" t="str">
        <x:v>SRC03</x:v>
      </x:c>
      <x:c r="H112" s="46" t="str">
        <x:v>G7 Acceptance</x:v>
      </x:c>
    </x:row>
    <x:row r="113" ht="48" customHeight="1">
      <x:c r="A113" s="46" t="str">
        <x:v>UX02</x:v>
      </x:c>
      <x:c r="B113" s="46" t="str">
        <x:v>P1</x:v>
      </x:c>
      <x:c r="C113" s="46" t="str">
        <x:v>Design, content and accessibility</x:v>
      </x:c>
      <x:c r="D113" s="46" t="str">
        <x:v>Run independent accessibility tasks</x:v>
      </x:c>
      <x:c r="E113" s="46" t="str">
        <x:v>Open - verify or implement</x:v>
      </x:c>
      <x:c r="F113" s="46" t="str">
        <x:v>Design lead + accessibility reviewer</x:v>
      </x:c>
      <x:c r="G113" s="46" t="str">
        <x:v>UX01</x:v>
      </x:c>
      <x:c r="H113" s="46" t="str">
        <x:v>G7 Acceptance</x:v>
      </x:c>
    </x:row>
    <x:row r="114" ht="48" customHeight="1">
      <x:c r="A114" s="46" t="str">
        <x:v>UX03</x:v>
      </x:c>
      <x:c r="B114" s="46" t="str">
        <x:v>P1</x:v>
      </x:c>
      <x:c r="C114" s="46" t="str">
        <x:v>Design, content and accessibility</x:v>
      </x:c>
      <x:c r="D114" s="46" t="str">
        <x:v>Refresh visual source comparisons</x:v>
      </x:c>
      <x:c r="E114" s="46" t="str">
        <x:v>Open - verify or implement</x:v>
      </x:c>
      <x:c r="F114" s="46" t="str">
        <x:v>Design lead + accessibility reviewer</x:v>
      </x:c>
      <x:c r="G114" s="46" t="str">
        <x:v>UX01,NAT04,WEB01</x:v>
      </x:c>
      <x:c r="H114" s="46" t="str">
        <x:v>G7 Acceptance</x:v>
      </x:c>
    </x:row>
    <x:row r="115" ht="48" customHeight="1">
      <x:c r="A115" s="46" t="str">
        <x:v>UX04</x:v>
      </x:c>
      <x:c r="B115" s="46" t="str">
        <x:v>P1</x:v>
      </x:c>
      <x:c r="C115" s="46" t="str">
        <x:v>Design, content and accessibility</x:v>
      </x:c>
      <x:c r="D115" s="46" t="str">
        <x:v>Validate state and recovery copy</x:v>
      </x:c>
      <x:c r="E115" s="46" t="str">
        <x:v>Open - verify or implement</x:v>
      </x:c>
      <x:c r="F115" s="46" t="str">
        <x:v>Design lead + accessibility reviewer</x:v>
      </x:c>
      <x:c r="G115" s="46" t="str">
        <x:v>PAY12,WEB06</x:v>
      </x:c>
      <x:c r="H115" s="46" t="str">
        <x:v>G7 Acceptance</x:v>
      </x:c>
    </x:row>
    <x:row r="116" ht="48" customHeight="1">
      <x:c r="A116" s="46" t="str">
        <x:v>UX05</x:v>
      </x:c>
      <x:c r="B116" s="46" t="str">
        <x:v>P2</x:v>
      </x:c>
      <x:c r="C116" s="46" t="str">
        <x:v>Design, content and accessibility</x:v>
      </x:c>
      <x:c r="D116" s="46" t="str">
        <x:v>Decide locale and market support</x:v>
      </x:c>
      <x:c r="E116" s="46" t="str">
        <x:v>Open - verify or implement</x:v>
      </x:c>
      <x:c r="F116" s="46" t="str">
        <x:v>Design lead + accessibility reviewer</x:v>
      </x:c>
      <x:c r="G116" s="46" t="str">
        <x:v>LEG01,UX04</x:v>
      </x:c>
      <x:c r="H116" s="46" t="str">
        <x:v>G7 Acceptance</x:v>
      </x:c>
    </x:row>
    <x:row r="117" ht="48" customHeight="1">
      <x:c r="A117" s="46" t="str">
        <x:v>UX06</x:v>
      </x:c>
      <x:c r="B117" s="46" t="str">
        <x:v>P2</x:v>
      </x:c>
      <x:c r="C117" s="46" t="str">
        <x:v>Design, content and accessibility</x:v>
      </x:c>
      <x:c r="D117" s="46" t="str">
        <x:v>Test usability with representative supporters</x:v>
      </x:c>
      <x:c r="E117" s="46" t="str">
        <x:v>Open - verify or implement</x:v>
      </x:c>
      <x:c r="F117" s="46" t="str">
        <x:v>Design lead + accessibility reviewer</x:v>
      </x:c>
      <x:c r="G117" s="46" t="str">
        <x:v>UX02,NAT12,WEB10</x:v>
      </x:c>
      <x:c r="H117" s="46" t="str">
        <x:v>G7 Acceptance</x:v>
      </x:c>
    </x:row>
    <x:row r="118" ht="48" customHeight="1">
      <x:c r="A118" s="46" t="str">
        <x:v>UX07</x:v>
      </x:c>
      <x:c r="B118" s="46" t="str">
        <x:v>P1</x:v>
      </x:c>
      <x:c r="C118" s="46" t="str">
        <x:v>Design, content and accessibility</x:v>
      </x:c>
      <x:c r="D118" s="46" t="str">
        <x:v>Reconcile evidence registers</x:v>
      </x:c>
      <x:c r="E118" s="46" t="str">
        <x:v>Open - verify or implement</x:v>
      </x:c>
      <x:c r="F118" s="46" t="str">
        <x:v>Design lead + accessibility reviewer</x:v>
      </x:c>
      <x:c r="G118" s="46" t="str">
        <x:v>UX03,CI09</x:v>
      </x:c>
      <x:c r="H118" s="46" t="str">
        <x:v>G7 Acceptance</x:v>
      </x:c>
    </x:row>
    <x:row r="119" ht="48" customHeight="1">
      <x:c r="A119" s="46" t="str">
        <x:v>UX08</x:v>
      </x:c>
      <x:c r="B119" s="46" t="str">
        <x:v>P1</x:v>
      </x:c>
      <x:c r="C119" s="46" t="str">
        <x:v>Design, content and accessibility</x:v>
      </x:c>
      <x:c r="D119" s="46" t="str">
        <x:v>Verify media and brand rights</x:v>
      </x:c>
      <x:c r="E119" s="46" t="str">
        <x:v>Open - verify or implement</x:v>
      </x:c>
      <x:c r="F119" s="46" t="str">
        <x:v>Design lead + accessibility reviewer</x:v>
      </x:c>
      <x:c r="G119" s="46" t="str">
        <x:v>PUB01,LEG01</x:v>
      </x:c>
      <x:c r="H119" s="46" t="str">
        <x:v>G7 Acceptance</x:v>
      </x:c>
    </x:row>
    <x:row r="120" ht="48" customHeight="1">
      <x:c r="A120" s="46" t="str">
        <x:v>LEG01</x:v>
      </x:c>
      <x:c r="B120" s="46" t="str">
        <x:v>P1</x:v>
      </x:c>
      <x:c r="C120" s="46" t="str">
        <x:v>Country, commercial and platform compliance</x:v>
      </x:c>
      <x:c r="D120" s="46" t="str">
        <x:v>Approve five-club operating entities</x:v>
      </x:c>
      <x:c r="E120" s="46" t="str">
        <x:v>Open - verify or implement</x:v>
      </x:c>
      <x:c r="F120" s="46" t="str">
        <x:v>Local counsel + privacy/product owners</x:v>
      </x:c>
      <x:c r="G120" s="46" t="str">
        <x:v>SEC02</x:v>
      </x:c>
      <x:c r="H120" s="46" t="str">
        <x:v>G2 Scope approval</x:v>
      </x:c>
    </x:row>
    <x:row r="121" ht="48" customHeight="1">
      <x:c r="A121" s="46" t="str">
        <x:v>LEG02</x:v>
      </x:c>
      <x:c r="B121" s="46" t="str">
        <x:v>P1</x:v>
      </x:c>
      <x:c r="C121" s="46" t="str">
        <x:v>Country, commercial and platform compliance</x:v>
      </x:c>
      <x:c r="D121" s="46" t="str">
        <x:v>Classify each payment product</x:v>
      </x:c>
      <x:c r="E121" s="46" t="str">
        <x:v>Open - verify or implement</x:v>
      </x:c>
      <x:c r="F121" s="46" t="str">
        <x:v>Local counsel + privacy/product owners</x:v>
      </x:c>
      <x:c r="G121" s="46" t="str">
        <x:v>LEG01</x:v>
      </x:c>
      <x:c r="H121" s="46" t="str">
        <x:v>G2 Scope approval</x:v>
      </x:c>
    </x:row>
    <x:row r="122" ht="48" customHeight="1">
      <x:c r="A122" s="46" t="str">
        <x:v>LEG03</x:v>
      </x:c>
      <x:c r="B122" s="46" t="str">
        <x:v>P1</x:v>
      </x:c>
      <x:c r="C122" s="46" t="str">
        <x:v>Country, commercial and platform compliance</x:v>
      </x:c>
      <x:c r="D122" s="46" t="str">
        <x:v>Approve FET and prediction rules</x:v>
      </x:c>
      <x:c r="E122" s="46" t="str">
        <x:v>Open - verify or implement</x:v>
      </x:c>
      <x:c r="F122" s="46" t="str">
        <x:v>Local counsel + privacy/product owners</x:v>
      </x:c>
      <x:c r="G122" s="46" t="str">
        <x:v>LEG02</x:v>
      </x:c>
      <x:c r="H122" s="46" t="str">
        <x:v>G2 Scope approval</x:v>
      </x:c>
    </x:row>
    <x:row r="123" ht="48" customHeight="1">
      <x:c r="A123" s="46" t="str">
        <x:v>LEG04</x:v>
      </x:c>
      <x:c r="B123" s="46" t="str">
        <x:v>P1</x:v>
      </x:c>
      <x:c r="C123" s="46" t="str">
        <x:v>Country, commercial and platform compliance</x:v>
      </x:c>
      <x:c r="D123" s="46" t="str">
        <x:v>Approve privacy roles and retention</x:v>
      </x:c>
      <x:c r="E123" s="46" t="str">
        <x:v>Open - verify or implement</x:v>
      </x:c>
      <x:c r="F123" s="46" t="str">
        <x:v>Local counsel + privacy/product owners</x:v>
      </x:c>
      <x:c r="G123" s="46" t="str">
        <x:v>LEG01</x:v>
      </x:c>
      <x:c r="H123" s="46" t="str">
        <x:v>G2 Scope approval</x:v>
      </x:c>
    </x:row>
    <x:row r="124" ht="48" customHeight="1">
      <x:c r="A124" s="46" t="str">
        <x:v>LEG05</x:v>
      </x:c>
      <x:c r="B124" s="46" t="str">
        <x:v>P1</x:v>
      </x:c>
      <x:c r="C124" s="46" t="str">
        <x:v>Country, commercial and platform compliance</x:v>
      </x:c>
      <x:c r="D124" s="46" t="str">
        <x:v>Resolve Rwanda offshore storage</x:v>
      </x:c>
      <x:c r="E124" s="46" t="str">
        <x:v>Open - verify or implement</x:v>
      </x:c>
      <x:c r="F124" s="46" t="str">
        <x:v>Local counsel + privacy/product owners</x:v>
      </x:c>
      <x:c r="G124" s="46" t="str">
        <x:v>LEG04,SRC07</x:v>
      </x:c>
      <x:c r="H124" s="46" t="str">
        <x:v>G2 Scope approval</x:v>
      </x:c>
    </x:row>
    <x:row r="125" ht="48" customHeight="1">
      <x:c r="A125" s="46" t="str">
        <x:v>LEG06</x:v>
      </x:c>
      <x:c r="B125" s="46" t="str">
        <x:v>P1</x:v>
      </x:c>
      <x:c r="C125" s="46" t="str">
        <x:v>Country, commercial and platform compliance</x:v>
      </x:c>
      <x:c r="D125" s="46" t="str">
        <x:v>Complete Zambia compliance review</x:v>
      </x:c>
      <x:c r="E125" s="46" t="str">
        <x:v>Open - verify or implement</x:v>
      </x:c>
      <x:c r="F125" s="46" t="str">
        <x:v>Local counsel + privacy/product owners</x:v>
      </x:c>
      <x:c r="G125" s="46" t="str">
        <x:v>LEG04</x:v>
      </x:c>
      <x:c r="H125" s="46" t="str">
        <x:v>G2 Scope approval</x:v>
      </x:c>
    </x:row>
    <x:row r="126" ht="48" customHeight="1">
      <x:c r="A126" s="46" t="str">
        <x:v>LEG07</x:v>
      </x:c>
      <x:c r="B126" s="46" t="str">
        <x:v>P1</x:v>
      </x:c>
      <x:c r="C126" s="46" t="str">
        <x:v>Country, commercial and platform compliance</x:v>
      </x:c>
      <x:c r="D126" s="46" t="str">
        <x:v>Complete Burundi compliance review</x:v>
      </x:c>
      <x:c r="E126" s="46" t="str">
        <x:v>Open - verify or implement</x:v>
      </x:c>
      <x:c r="F126" s="46" t="str">
        <x:v>Local counsel + privacy/product owners</x:v>
      </x:c>
      <x:c r="G126" s="46" t="str">
        <x:v>LEG04</x:v>
      </x:c>
      <x:c r="H126" s="46" t="str">
        <x:v>G2 Scope approval</x:v>
      </x:c>
    </x:row>
    <x:row r="127" ht="48" customHeight="1">
      <x:c r="A127" s="46" t="str">
        <x:v>LEG08</x:v>
      </x:c>
      <x:c r="B127" s="46" t="str">
        <x:v>P1</x:v>
      </x:c>
      <x:c r="C127" s="46" t="str">
        <x:v>Country, commercial and platform compliance</x:v>
      </x:c>
      <x:c r="D127" s="46" t="str">
        <x:v>Complete DRC compliance review</x:v>
      </x:c>
      <x:c r="E127" s="46" t="str">
        <x:v>Open - verify or implement</x:v>
      </x:c>
      <x:c r="F127" s="46" t="str">
        <x:v>Local counsel + privacy/product owners</x:v>
      </x:c>
      <x:c r="G127" s="46" t="str">
        <x:v>LEG04</x:v>
      </x:c>
      <x:c r="H127" s="46" t="str">
        <x:v>G2 Scope approval</x:v>
      </x:c>
    </x:row>
    <x:row r="128" ht="48" customHeight="1">
      <x:c r="A128" s="46" t="str">
        <x:v>LEG09</x:v>
      </x:c>
      <x:c r="B128" s="46" t="str">
        <x:v>P1</x:v>
      </x:c>
      <x:c r="C128" s="46" t="str">
        <x:v>Country, commercial and platform compliance</x:v>
      </x:c>
      <x:c r="D128" s="46" t="str">
        <x:v>Complete Mozambique compliance review</x:v>
      </x:c>
      <x:c r="E128" s="46" t="str">
        <x:v>Open - verify or implement</x:v>
      </x:c>
      <x:c r="F128" s="46" t="str">
        <x:v>Local counsel + privacy/product owners</x:v>
      </x:c>
      <x:c r="G128" s="46" t="str">
        <x:v>LEG04</x:v>
      </x:c>
      <x:c r="H128" s="46" t="str">
        <x:v>G2 Scope approval</x:v>
      </x:c>
    </x:row>
    <x:row r="129" ht="48" customHeight="1">
      <x:c r="A129" s="46" t="str">
        <x:v>LEG10</x:v>
      </x:c>
      <x:c r="B129" s="46" t="str">
        <x:v>P1</x:v>
      </x:c>
      <x:c r="C129" s="46" t="str">
        <x:v>Country, commercial and platform compliance</x:v>
      </x:c>
      <x:c r="D129" s="46" t="str">
        <x:v>Approve white-label store submission model</x:v>
      </x:c>
      <x:c r="E129" s="46" t="str">
        <x:v>Open - verify or implement</x:v>
      </x:c>
      <x:c r="F129" s="46" t="str">
        <x:v>Local counsel + privacy/product owners</x:v>
      </x:c>
      <x:c r="G129" s="46" t="str">
        <x:v>LEG01,UX08</x:v>
      </x:c>
      <x:c r="H129" s="46" t="str">
        <x:v>G2 Scope approval</x:v>
      </x:c>
    </x:row>
    <x:row r="130" ht="48" customHeight="1">
      <x:c r="A130" s="46" t="str">
        <x:v>LEG11</x:v>
      </x:c>
      <x:c r="B130" s="46" t="str">
        <x:v>P1</x:v>
      </x:c>
      <x:c r="C130" s="46" t="str">
        <x:v>Country, commercial and platform compliance</x:v>
      </x:c>
      <x:c r="D130" s="46" t="str">
        <x:v>Complete store privacy and deletion declarations</x:v>
      </x:c>
      <x:c r="E130" s="46" t="str">
        <x:v>Open - verify or implement</x:v>
      </x:c>
      <x:c r="F130" s="46" t="str">
        <x:v>Local counsel + privacy/product owners</x:v>
      </x:c>
      <x:c r="G130" s="46" t="str">
        <x:v>AUT11,NAT10,LEG04</x:v>
      </x:c>
      <x:c r="H130" s="46" t="str">
        <x:v>G2 Scope approval</x:v>
      </x:c>
    </x:row>
    <x:row r="131" ht="48" customHeight="1">
      <x:c r="A131" s="46" t="str">
        <x:v>LEG12</x:v>
      </x:c>
      <x:c r="B131" s="46" t="str">
        <x:v>P1</x:v>
      </x:c>
      <x:c r="C131" s="46" t="str">
        <x:v>Country, commercial and platform compliance</x:v>
      </x:c>
      <x:c r="D131" s="46" t="str">
        <x:v>Approve provider and content contracts</x:v>
      </x:c>
      <x:c r="E131" s="46" t="str">
        <x:v>Open - verify or implement</x:v>
      </x:c>
      <x:c r="F131" s="46" t="str">
        <x:v>Local counsel + privacy/product owners</x:v>
      </x:c>
      <x:c r="G131" s="46" t="str">
        <x:v>LEG01,LEG02</x:v>
      </x:c>
      <x:c r="H131" s="46" t="str">
        <x:v>G2 Scope approval</x:v>
      </x:c>
    </x:row>
    <x:row r="132" ht="48" customHeight="1">
      <x:c r="A132" s="46" t="str">
        <x:v>OPS01</x:v>
      </x:c>
      <x:c r="B132" s="46" t="str">
        <x:v>P1</x:v>
      </x:c>
      <x:c r="C132" s="46" t="str">
        <x:v>Reliability and operational readiness</x:v>
      </x:c>
      <x:c r="D132" s="46" t="str">
        <x:v>Assign operational service ownership</x:v>
      </x:c>
      <x:c r="E132" s="46" t="str">
        <x:v>Open - verify or implement</x:v>
      </x:c>
      <x:c r="F132" s="46" t="str">
        <x:v>SRE/platform lead + service owners</x:v>
      </x:c>
      <x:c r="G132" s="46" t="str">
        <x:v>SRC08,LEG01</x:v>
      </x:c>
      <x:c r="H132" s="46" t="str">
        <x:v>G6 Operational staging</x:v>
      </x:c>
    </x:row>
    <x:row r="133" ht="48" customHeight="1">
      <x:c r="A133" s="46" t="str">
        <x:v>OPS02</x:v>
      </x:c>
      <x:c r="B133" s="46" t="str">
        <x:v>P1</x:v>
      </x:c>
      <x:c r="C133" s="46" t="str">
        <x:v>Reliability and operational readiness</x:v>
      </x:c>
      <x:c r="D133" s="46" t="str">
        <x:v>Approve measurable SLOs and capacity</x:v>
      </x:c>
      <x:c r="E133" s="46" t="str">
        <x:v>Open - verify or implement</x:v>
      </x:c>
      <x:c r="F133" s="46" t="str">
        <x:v>SRE/platform lead + service owners</x:v>
      </x:c>
      <x:c r="G133" s="46" t="str">
        <x:v>SRC07</x:v>
      </x:c>
      <x:c r="H133" s="46" t="str">
        <x:v>G6 Operational staging</x:v>
      </x:c>
    </x:row>
    <x:row r="134" ht="48" customHeight="1">
      <x:c r="A134" s="46" t="str">
        <x:v>OPS03</x:v>
      </x:c>
      <x:c r="B134" s="46" t="str">
        <x:v>P1</x:v>
      </x:c>
      <x:c r="C134" s="46" t="str">
        <x:v>Reliability and operational readiness</x:v>
      </x:c>
      <x:c r="D134" s="46" t="str">
        <x:v>Implement privacy-safe telemetry</x:v>
      </x:c>
      <x:c r="E134" s="46" t="str">
        <x:v>Open - verify or implement</x:v>
      </x:c>
      <x:c r="F134" s="46" t="str">
        <x:v>SRE/platform lead + service owners</x:v>
      </x:c>
      <x:c r="G134" s="46" t="str">
        <x:v>LEG04,OPS01</x:v>
      </x:c>
      <x:c r="H134" s="46" t="str">
        <x:v>G6 Operational staging</x:v>
      </x:c>
    </x:row>
    <x:row r="135" ht="48" customHeight="1">
      <x:c r="A135" s="46" t="str">
        <x:v>OPS04</x:v>
      </x:c>
      <x:c r="B135" s="46" t="str">
        <x:v>P1</x:v>
      </x:c>
      <x:c r="C135" s="46" t="str">
        <x:v>Reliability and operational readiness</x:v>
      </x:c>
      <x:c r="D135" s="46" t="str">
        <x:v>Operate retries and dead letters</x:v>
      </x:c>
      <x:c r="E135" s="46" t="str">
        <x:v>Open - verify or implement</x:v>
      </x:c>
      <x:c r="F135" s="46" t="str">
        <x:v>SRE/platform lead + service owners</x:v>
      </x:c>
      <x:c r="G135" s="46" t="str">
        <x:v>OPS03,DOM10</x:v>
      </x:c>
      <x:c r="H135" s="46" t="str">
        <x:v>G6 Operational staging</x:v>
      </x:c>
    </x:row>
    <x:row r="136" ht="48" customHeight="1">
      <x:c r="A136" s="46" t="str">
        <x:v>OPS05</x:v>
      </x:c>
      <x:c r="B136" s="46" t="str">
        <x:v>P1</x:v>
      </x:c>
      <x:c r="C136" s="46" t="str">
        <x:v>Reliability and operational readiness</x:v>
      </x:c>
      <x:c r="D136" s="46" t="str">
        <x:v>Measure match-day peak behavior</x:v>
      </x:c>
      <x:c r="E136" s="46" t="str">
        <x:v>Open - verify or implement</x:v>
      </x:c>
      <x:c r="F136" s="46" t="str">
        <x:v>SRE/platform lead + service owners</x:v>
      </x:c>
      <x:c r="G136" s="46" t="str">
        <x:v>DAT07,OPS02</x:v>
      </x:c>
      <x:c r="H136" s="46" t="str">
        <x:v>G6 Operational staging</x:v>
      </x:c>
    </x:row>
    <x:row r="137" ht="48" customHeight="1">
      <x:c r="A137" s="46" t="str">
        <x:v>OPS06</x:v>
      </x:c>
      <x:c r="B137" s="46" t="str">
        <x:v>P2</x:v>
      </x:c>
      <x:c r="C137" s="46" t="str">
        <x:v>Reliability and operational readiness</x:v>
      </x:c>
      <x:c r="D137" s="46" t="str">
        <x:v>Model operating costs and quotas</x:v>
      </x:c>
      <x:c r="E137" s="46" t="str">
        <x:v>Open - verify or implement</x:v>
      </x:c>
      <x:c r="F137" s="46" t="str">
        <x:v>SRE/platform lead + service owners</x:v>
      </x:c>
      <x:c r="G137" s="46" t="str">
        <x:v>OPS05,AUT05</x:v>
      </x:c>
      <x:c r="H137" s="46" t="str">
        <x:v>G6 Operational staging</x:v>
      </x:c>
    </x:row>
    <x:row r="138" ht="48" customHeight="1">
      <x:c r="A138" s="46" t="str">
        <x:v>OPS07</x:v>
      </x:c>
      <x:c r="B138" s="46" t="str">
        <x:v>P1</x:v>
      </x:c>
      <x:c r="C138" s="46" t="str">
        <x:v>Reliability and operational readiness</x:v>
      </x:c>
      <x:c r="D138" s="46" t="str">
        <x:v>Exercise disaster recovery</x:v>
      </x:c>
      <x:c r="E138" s="46" t="str">
        <x:v>Open - verify or implement</x:v>
      </x:c>
      <x:c r="F138" s="46" t="str">
        <x:v>SRE/platform lead + service owners</x:v>
      </x:c>
      <x:c r="G138" s="46" t="str">
        <x:v>DAT09,OPS03</x:v>
      </x:c>
      <x:c r="H138" s="46" t="str">
        <x:v>G6 Operational staging</x:v>
      </x:c>
    </x:row>
    <x:row r="139" ht="48" customHeight="1">
      <x:c r="A139" s="46" t="str">
        <x:v>OPS08</x:v>
      </x:c>
      <x:c r="B139" s="46" t="str">
        <x:v>P1</x:v>
      </x:c>
      <x:c r="C139" s="46" t="str">
        <x:v>Reliability and operational readiness</x:v>
      </x:c>
      <x:c r="D139" s="46" t="str">
        <x:v>Harden production configuration</x:v>
      </x:c>
      <x:c r="E139" s="46" t="str">
        <x:v>Open - verify or implement</x:v>
      </x:c>
      <x:c r="F139" s="46" t="str">
        <x:v>SRE/platform lead + service owners</x:v>
      </x:c>
      <x:c r="G139" s="46" t="str">
        <x:v>SRC08,CI07,LEG05</x:v>
      </x:c>
      <x:c r="H139" s="46" t="str">
        <x:v>G6 Operational staging</x:v>
      </x:c>
    </x:row>
    <x:row r="140" ht="48" customHeight="1">
      <x:c r="A140" s="46" t="str">
        <x:v>OPS09</x:v>
      </x:c>
      <x:c r="B140" s="46" t="str">
        <x:v>P1</x:v>
      </x:c>
      <x:c r="C140" s="46" t="str">
        <x:v>Reliability and operational readiness</x:v>
      </x:c>
      <x:c r="D140" s="46" t="str">
        <x:v>Run application security assessment</x:v>
      </x:c>
      <x:c r="E140" s="46" t="str">
        <x:v>Open - verify or implement</x:v>
      </x:c>
      <x:c r="F140" s="46" t="str">
        <x:v>SRE/platform lead + service owners</x:v>
      </x:c>
      <x:c r="G140" s="46" t="str">
        <x:v>AUT12,WEB09,NAT12,OPS08</x:v>
      </x:c>
      <x:c r="H140" s="46" t="str">
        <x:v>G6 Operational staging</x:v>
      </x:c>
    </x:row>
    <x:row r="141" ht="48" customHeight="1">
      <x:c r="A141" s="46" t="str">
        <x:v>OPS10</x:v>
      </x:c>
      <x:c r="B141" s="46" t="str">
        <x:v>P1</x:v>
      </x:c>
      <x:c r="C141" s="46" t="str">
        <x:v>Reliability and operational readiness</x:v>
      </x:c>
      <x:c r="D141" s="46" t="str">
        <x:v>Rehearse operator and customer support</x:v>
      </x:c>
      <x:c r="E141" s="46" t="str">
        <x:v>Open - verify or implement</x:v>
      </x:c>
      <x:c r="F141" s="46" t="str">
        <x:v>SRE/platform lead + service owners</x:v>
      </x:c>
      <x:c r="G141" s="46" t="str">
        <x:v>PAY06,OPS01,DOM05</x:v>
      </x:c>
      <x:c r="H141" s="46" t="str">
        <x:v>G6 Operational staging</x:v>
      </x:c>
    </x:row>
    <x:row r="142" ht="48" customHeight="1">
      <x:c r="A142" s="46" t="str">
        <x:v>REL01</x:v>
      </x:c>
      <x:c r="B142" s="46" t="str">
        <x:v>P1</x:v>
      </x:c>
      <x:c r="C142" s="46" t="str">
        <x:v>Release acceptance and cutover</x:v>
      </x:c>
      <x:c r="D142" s="46" t="str">
        <x:v>Choose a minimal release scope</x:v>
      </x:c>
      <x:c r="E142" s="46" t="str">
        <x:v>Open - verify or implement</x:v>
      </x:c>
      <x:c r="F142" s="46" t="str">
        <x:v>Release owner + independent approvers</x:v>
      </x:c>
      <x:c r="G142" s="46" t="str">
        <x:v>LEG01,SRC09</x:v>
      </x:c>
      <x:c r="H142" s="46" t="str">
        <x:v>G8/G9 Release and retirement</x:v>
      </x:c>
    </x:row>
    <x:row r="143" ht="48" customHeight="1">
      <x:c r="A143" s="46" t="str">
        <x:v>REL02</x:v>
      </x:c>
      <x:c r="B143" s="46" t="str">
        <x:v>P1</x:v>
      </x:c>
      <x:c r="C143" s="46" t="str">
        <x:v>Release acceptance and cutover</x:v>
      </x:c>
      <x:c r="D143" s="46" t="str">
        <x:v>Freeze the final candidate</x:v>
      </x:c>
      <x:c r="E143" s="46" t="str">
        <x:v>Open - verify or implement</x:v>
      </x:c>
      <x:c r="F143" s="46" t="str">
        <x:v>Release owner + independent approvers</x:v>
      </x:c>
      <x:c r="G143" s="46" t="str">
        <x:v>CI09,UX07</x:v>
      </x:c>
      <x:c r="H143" s="46" t="str">
        <x:v>G8/G9 Release and retirement</x:v>
      </x:c>
    </x:row>
    <x:row r="144" ht="48" customHeight="1">
      <x:c r="A144" s="46" t="str">
        <x:v>REL03</x:v>
      </x:c>
      <x:c r="B144" s="46" t="str">
        <x:v>P1</x:v>
      </x:c>
      <x:c r="C144" s="46" t="str">
        <x:v>Release acceptance and cutover</x:v>
      </x:c>
      <x:c r="D144" s="46" t="str">
        <x:v>Close the original QA checklist</x:v>
      </x:c>
      <x:c r="E144" s="46" t="str">
        <x:v>Open - verify or implement</x:v>
      </x:c>
      <x:c r="F144" s="46" t="str">
        <x:v>Release owner + independent approvers</x:v>
      </x:c>
      <x:c r="G144" s="46" t="str">
        <x:v>REL02</x:v>
      </x:c>
      <x:c r="H144" s="46" t="str">
        <x:v>G8/G9 Release and retirement</x:v>
      </x:c>
    </x:row>
    <x:row r="145" ht="48" customHeight="1">
      <x:c r="A145" s="46" t="str">
        <x:v>REL04</x:v>
      </x:c>
      <x:c r="B145" s="46" t="str">
        <x:v>P1</x:v>
      </x:c>
      <x:c r="C145" s="46" t="str">
        <x:v>Release acceptance and cutover</x:v>
      </x:c>
      <x:c r="D145" s="46" t="str">
        <x:v>Complete independent go/no-go review</x:v>
      </x:c>
      <x:c r="E145" s="46" t="str">
        <x:v>Open - verify or implement</x:v>
      </x:c>
      <x:c r="F145" s="46" t="str">
        <x:v>Release owner + independent approvers</x:v>
      </x:c>
      <x:c r="G145" s="46" t="str">
        <x:v>OPS09,OPS10,REL03</x:v>
      </x:c>
      <x:c r="H145" s="46" t="str">
        <x:v>G8/G9 Release and retirement</x:v>
      </x:c>
    </x:row>
    <x:row r="146" ht="48" customHeight="1">
      <x:c r="A146" s="46" t="str">
        <x:v>REL05</x:v>
      </x:c>
      <x:c r="B146" s="46" t="str">
        <x:v>P1</x:v>
      </x:c>
      <x:c r="C146" s="46" t="str">
        <x:v>Release acceptance and cutover</x:v>
      </x:c>
      <x:c r="D146" s="46" t="str">
        <x:v>Run controlled production rehearsal</x:v>
      </x:c>
      <x:c r="E146" s="46" t="str">
        <x:v>Open - verify or implement</x:v>
      </x:c>
      <x:c r="F146" s="46" t="str">
        <x:v>Release owner + independent approvers</x:v>
      </x:c>
      <x:c r="G146" s="46" t="str">
        <x:v>DAT12,PAY11,REL02</x:v>
      </x:c>
      <x:c r="H146" s="46" t="str">
        <x:v>G8/G9 Release and retirement</x:v>
      </x:c>
    </x:row>
    <x:row r="147" ht="48" customHeight="1">
      <x:c r="A147" s="46" t="str">
        <x:v>REL06</x:v>
      </x:c>
      <x:c r="B147" s="46" t="str">
        <x:v>P1</x:v>
      </x:c>
      <x:c r="C147" s="46" t="str">
        <x:v>Release acceptance and cutover</x:v>
      </x:c>
      <x:c r="D147" s="46" t="str">
        <x:v>Approve and execute single-writer cutover</x:v>
      </x:c>
      <x:c r="E147" s="46" t="str">
        <x:v>Open - verify or implement</x:v>
      </x:c>
      <x:c r="F147" s="46" t="str">
        <x:v>Release owner + independent approvers</x:v>
      </x:c>
      <x:c r="G147" s="46" t="str">
        <x:v>REL04,REL05</x:v>
      </x:c>
      <x:c r="H147" s="46" t="str">
        <x:v>G8/G9 Release and retirement</x:v>
      </x:c>
    </x:row>
    <x:row r="148" ht="48" customHeight="1">
      <x:c r="A148" s="46" t="str">
        <x:v>REL07</x:v>
      </x:c>
      <x:c r="B148" s="46" t="str">
        <x:v>P1</x:v>
      </x:c>
      <x:c r="C148" s="46" t="str">
        <x:v>Release acceptance and cutover</x:v>
      </x:c>
      <x:c r="D148" s="46" t="str">
        <x:v>Observe and prove stability</x:v>
      </x:c>
      <x:c r="E148" s="46" t="str">
        <x:v>Open - verify or implement</x:v>
      </x:c>
      <x:c r="F148" s="46" t="str">
        <x:v>Release owner + independent approvers</x:v>
      </x:c>
      <x:c r="G148" s="46" t="str">
        <x:v>REL06</x:v>
      </x:c>
      <x:c r="H148" s="46" t="str">
        <x:v>G8/G9 Release and retirement</x:v>
      </x:c>
    </x:row>
    <x:row r="149" ht="48" customHeight="1">
      <x:c r="A149" s="46" t="str">
        <x:v>REL08</x:v>
      </x:c>
      <x:c r="B149" s="46" t="str">
        <x:v>P1</x:v>
      </x:c>
      <x:c r="C149" s="46" t="str">
        <x:v>Release acceptance and cutover</x:v>
      </x:c>
      <x:c r="D149" s="46" t="str">
        <x:v>Release each additional club independently</x:v>
      </x:c>
      <x:c r="E149" s="46" t="str">
        <x:v>Open - verify or implement</x:v>
      </x:c>
      <x:c r="F149" s="46" t="str">
        <x:v>Release owner + independent approvers</x:v>
      </x:c>
      <x:c r="G149" s="46" t="str">
        <x:v>REL07,NAT09,LEG06,LEG07,LEG08,LEG09</x:v>
      </x:c>
      <x:c r="H149" s="46" t="str">
        <x:v>G8/G9 Release and retirement</x:v>
      </x:c>
    </x:row>
    <x:row r="150" ht="48" customHeight="1">
      <x:c r="A150" s="46" t="str">
        <x:v>REL09</x:v>
      </x:c>
      <x:c r="B150" s="46" t="str">
        <x:v>P1</x:v>
      </x:c>
      <x:c r="C150" s="46" t="str">
        <x:v>Release acceptance and cutover</x:v>
      </x:c>
      <x:c r="D150" s="46" t="str">
        <x:v>Retire legacy services deliberately</x:v>
      </x:c>
      <x:c r="E150" s="46" t="str">
        <x:v>Open - verify or implement</x:v>
      </x:c>
      <x:c r="F150" s="46" t="str">
        <x:v>Release owner + independent approvers</x:v>
      </x:c>
      <x:c r="G150" s="46" t="str">
        <x:v>REL07,DAT03,DAT09</x:v>
      </x:c>
      <x:c r="H150" s="46" t="str">
        <x:v>G8/G9 Release and retirement</x:v>
      </x:c>
    </x:row>
    <x:row r="151" ht="48" customHeight="1">
      <x:c r="A151" s="46" t="str">
        <x:v>REL10</x:v>
      </x:c>
      <x:c r="B151" s="46" t="str">
        <x:v>P2</x:v>
      </x:c>
      <x:c r="C151" s="46" t="str">
        <x:v>Release acceptance and cutover</x:v>
      </x:c>
      <x:c r="D151" s="46" t="str">
        <x:v>Maintain post-release control cadence</x:v>
      </x:c>
      <x:c r="E151" s="46" t="str">
        <x:v>Open - verify or implement</x:v>
      </x:c>
      <x:c r="F151" s="46" t="str">
        <x:v>Release owner + independent approvers</x:v>
      </x:c>
      <x:c r="G151" s="46" t="str">
        <x:v>REL07</x:v>
      </x:c>
      <x:c r="H151" s="46" t="str">
        <x:v>G8/G9 Release and retirement</x:v>
      </x:c>
    </x:row>
  </x:sheetData>
  <x:mergeCells>
    <x:mergeCell ref="A1:H1"/>
  </x:mergeCells>
  <x:conditionalFormatting sqref="B4:B151">
    <x:cfRule type="expression" dxfId="0" priority="1">
      <x:formula>B4="P0"</x:formula>
    </x:cfRule>
  </x:conditionalFormatting>
  <x:conditionalFormatting sqref="E4:E151">
    <x:cfRule type="expression" dxfId="1" priority="2">
      <x:formula>E4="Verified"</x:formula>
    </x:cfRule>
  </x:conditionalFormatting>
  <x:dataValidations count="2">
    <x:dataValidation type="list" sqref="B4:B151">
      <x:formula1>"P0,P1,P2"</x:formula1>
    </x:dataValidation>
    <x:dataValidation type="list" sqref="E4:E151">
      <x:formula1>"Open - verify or implement,In progress,Blocked,Ready for review,Verified,Not applicable - approved"</x:formula1>
    </x:dataValidation>
  </x:dataValidations>
  <x:pageMargins left="0.7" right="0.7" top="0.75" bottom="0.75" header="0.3" footer="0.3"/>
  <x:tableParts count="1">
    <x:tablePart xmlns:r="http://schemas.openxmlformats.org/officeDocument/2006/relationships" r:id="Ra319216f03a640ea"/>
  </x:tableParts>
</x:worksheet>
</file>

<file path=xl/worksheets/sheet3.xml><?xml version="1.0" encoding="utf-8"?>
<x:worksheet xmlns:x="http://schemas.openxmlformats.org/spreadsheetml/2006/main">
  <x:sheetFormatPr defaultRowHeight="15"/>
  <x:cols>
    <x:col min="1" max="1" width="11" hidden="0" customWidth="1"/>
    <x:col min="2" max="2" width="40" hidden="0" customWidth="1"/>
    <x:col min="3" max="3" width="40" hidden="0" customWidth="1"/>
    <x:col min="4" max="4" width="26" hidden="0" customWidth="1"/>
    <x:col min="5" max="5" width="38" hidden="0" customWidth="1"/>
    <x:col min="6" max="6" width="22" hidden="0" customWidth="1"/>
    <x:col min="7" max="7" width="36" hidden="0" customWidth="1"/>
  </x:cols>
  <x:sheetData>
    <x:row r="1" ht="32" customHeight="1">
      <x:c r="A1" s="39" t="str">
        <x:v>Actions and acceptance evidence | source IDs resolve in Sources</x:v>
      </x:c>
      <x:c r="B1" s="39"/>
      <x:c r="C1" s="39"/>
      <x:c r="D1" s="39"/>
      <x:c r="E1" s="39"/>
      <x:c r="F1" s="39"/>
      <x:c r="G1" s="39"/>
    </x:row>
    <x:row r="3" ht="30" customHeight="1">
      <x:c r="A3" s="43" t="str">
        <x:v>ID</x:v>
      </x:c>
      <x:c r="B3" s="43" t="str">
        <x:v>Required action</x:v>
      </x:c>
      <x:c r="C3" s="43" t="str">
        <x:v>Acceptance evidence</x:v>
      </x:c>
      <x:c r="D3" s="43" t="str">
        <x:v>Source IDs</x:v>
      </x:c>
      <x:c r="E3" s="43" t="str">
        <x:v>Primary source URLs</x:v>
      </x:c>
      <x:c r="F3" s="43" t="str">
        <x:v>Original QA crosswalk</x:v>
      </x:c>
      <x:c r="G3" s="43" t="str">
        <x:v>Approval / scope boundary</x:v>
      </x:c>
    </x:row>
    <x:row r="4" ht="156" customHeight="1">
      <x:c r="A4" s="46" t="str">
        <x:v>SEC01</x:v>
      </x:c>
      <x:c r="B4" s="46" t="str">
        <x:v>Replace anyone/writer access with explicit least-privilege collaborators after the owner approves containment; inspect inherited and item-specific permissions.</x:v>
      </x:c>
      <x:c r="C4" s="46" t="str">
        <x:v>Root and sampled sensitive children have no anonymous access; authorized collaborators retain required access; before/after ACL evidence.</x:v>
      </x:c>
      <x:c r="D4" s="46" t="str">
        <x:v>E01,R01,R02,R15</x:v>
      </x:c>
      <x:c r="E4" s="46" t="str">
        <x:v>https://developers.google.com/workspace/drive/api/reference/rest/v3/permissions
https://docs.github.com/en/actions/reference/security/secure-use</x:v>
      </x:c>
      <x:c r="F4" s="46" t="str">
        <x:v>QA-30</x:v>
      </x:c>
      <x:c r="G4" s="46" t="str">
        <x:v>Source/isolated QA only; production, sharing, credentials and commercial approvals require accountable authorization.</x:v>
      </x:c>
    </x:row>
    <x:row r="5" ht="156" customHeight="1">
      <x:c r="A5" s="46" t="str">
        <x:v>SEC02</x:v>
      </x:c>
      <x:c r="B5" s="46" t="str">
        <x:v>Preserve available access/activity records and inspect who could access credential, signing and recovery artifacts; do not equate exposure with proven theft.</x:v>
      </x:c>
      <x:c r="C5" s="46" t="str">
        <x:v>Time-bounded incident assessment, affected asset list, log coverage limits and accountable severity decision.</x:v>
      </x:c>
      <x:c r="D5" s="46" t="str">
        <x:v>E01,R01,R02,R15</x:v>
      </x:c>
      <x:c r="E5" s="46" t="str">
        <x:v>https://developers.google.com/workspace/drive/api/reference/rest/v3/permissions
https://docs.github.com/en/actions/reference/security/secure-use</x:v>
      </x:c>
      <x:c r="F5" s="46" t="str">
        <x:v>QA-30</x:v>
      </x:c>
      <x:c r="G5" s="46" t="str">
        <x:v>Source/isolated QA only; production, sharing, credentials and commercial approvals require accountable authorization.</x:v>
      </x:c>
    </x:row>
    <x:row r="6" ht="156" customHeight="1">
      <x:c r="A6" s="46" t="str">
        <x:v>SEC03</x:v>
      </x:c>
      <x:c r="B6" s="46" t="str">
        <x:v>Privately determine whether environment files contain live credentials; revoke/rotate those exposed and verify old credentials fail without logging values.</x:v>
      </x:c>
      <x:c r="C6" s="46" t="str">
        <x:v>Credential-owner register and negative old-key checks; no live secrets in report, source or build logs.</x:v>
      </x:c>
      <x:c r="D6" s="46" t="str">
        <x:v>E01,R01,R02,R15</x:v>
      </x:c>
      <x:c r="E6" s="46" t="str">
        <x:v>https://developers.google.com/workspace/drive/api/reference/rest/v3/permissions
https://docs.github.com/en/actions/reference/security/secure-use</x:v>
      </x:c>
      <x:c r="F6" s="46" t="str">
        <x:v>QA-30</x:v>
      </x:c>
      <x:c r="G6" s="46" t="str">
        <x:v>Source/isolated QA only; production, sharing, credentials and commercial approvals require accountable authorization.</x:v>
      </x:c>
    </x:row>
    <x:row r="7" ht="156" customHeight="1">
      <x:c r="A7" s="46" t="str">
        <x:v>SEC04</x:v>
      </x:c>
      <x:c r="B7" s="46" t="str">
        <x:v>Inspect certificate fingerprints and Play App Signing configuration; distinguish upload-key reset from app-signing-key migration before any rotation.</x:v>
      </x:c>
      <x:c r="C7" s="46" t="str">
        <x:v>Approved signing incident plan, certificate lineage and successful authorized test signing/install; no secret key distributed.</x:v>
      </x:c>
      <x:c r="D7" s="46" t="str">
        <x:v>E01,R01,R02,R15</x:v>
      </x:c>
      <x:c r="E7" s="46" t="str">
        <x:v>https://developers.google.com/workspace/drive/api/reference/rest/v3/permissions
https://docs.github.com/en/actions/reference/security/secure-use</x:v>
      </x:c>
      <x:c r="F7" s="46" t="str">
        <x:v>QA-30,QA-36</x:v>
      </x:c>
      <x:c r="G7" s="46" t="str">
        <x:v>Source/isolated QA only; production, sharing, credentials and commercial approvals require accountable authorization.</x:v>
      </x:c>
    </x:row>
    <x:row r="8" ht="156" customHeight="1">
      <x:c r="A8" s="46" t="str">
        <x:v>SEC05</x:v>
      </x:c>
      <x:c r="B8" s="46" t="str">
        <x:v>Compare the shared Drive source, archives and hashes against a independently trusted Git baseline; investigate unexpected edits before builds execute.</x:v>
      </x:c>
      <x:c r="C8" s="46" t="str">
        <x:v>Reviewed commit/diff and signed or independently retained source manifest; unknown changes quarantined rather than assumed valid.</x:v>
      </x:c>
      <x:c r="D8" s="46" t="str">
        <x:v>E01,R01,R02,R15</x:v>
      </x:c>
      <x:c r="E8" s="46" t="str">
        <x:v>https://developers.google.com/workspace/drive/api/reference/rest/v3/permissions
https://docs.github.com/en/actions/reference/security/secure-use</x:v>
      </x:c>
      <x:c r="F8" s="46" t="str">
        <x:v>QA-30</x:v>
      </x:c>
      <x:c r="G8" s="46" t="str">
        <x:v>Source/isolated QA only; production, sharing, credentials and commercial approvals require accountable authorization.</x:v>
      </x:c>
    </x:row>
    <x:row r="9" ht="156" customHeight="1">
      <x:c r="A9" s="46" t="str">
        <x:v>SEC06</x:v>
      </x:c>
      <x:c r="B9" s="46" t="str">
        <x:v>Move active secrets and signing material to approved secret storage; restrict backups and personal-data exports separately from source collaboration.</x:v>
      </x:c>
      <x:c r="C9" s="46" t="str">
        <x:v>Secret-manager inventory, access tests and sanitized backup destinations; sensitive values absent from clean source export.</x:v>
      </x:c>
      <x:c r="D9" s="46" t="str">
        <x:v>E01,R01,R02,R15</x:v>
      </x:c>
      <x:c r="E9" s="46" t="str">
        <x:v>https://developers.google.com/workspace/drive/api/reference/rest/v3/permissions
https://docs.github.com/en/actions/reference/security/secure-use</x:v>
      </x:c>
      <x:c r="F9" s="46" t="str">
        <x:v>QA-30</x:v>
      </x:c>
      <x:c r="G9" s="46" t="str">
        <x:v>Source/isolated QA only; production, sharing, credentials and commercial approvals require accountable authorization.</x:v>
      </x:c>
    </x:row>
    <x:row r="10" ht="156" customHeight="1">
      <x:c r="A10" s="46" t="str">
        <x:v>SEC07</x:v>
      </x:c>
      <x:c r="B10" s="46" t="str">
        <x:v>Run secret and dependency scanning on the clean checkout, history and deliverable archives, classifying synthetic fixtures separately from actual credentials.</x:v>
      </x:c>
      <x:c r="C10" s="46" t="str">
        <x:v>Triage of every high-confidence hit; no unresolved active secret; documented false-positive controls and scanner versions.</x:v>
      </x:c>
      <x:c r="D10" s="46" t="str">
        <x:v>E01,R01,R02,R15</x:v>
      </x:c>
      <x:c r="E10" s="46" t="str">
        <x:v>https://developers.google.com/workspace/drive/api/reference/rest/v3/permissions
https://docs.github.com/en/actions/reference/security/secure-use</x:v>
      </x:c>
      <x:c r="F10" s="46" t="str">
        <x:v>QA-30</x:v>
      </x:c>
      <x:c r="G10" s="46" t="str">
        <x:v>Source/isolated QA only; production, sharing, credentials and commercial approvals require accountable authorization.</x:v>
      </x:c>
    </x:row>
    <x:row r="11" ht="156" customHeight="1">
      <x:c r="A11" s="46" t="str">
        <x:v>SEC08</x:v>
      </x:c>
      <x:c r="B11" s="46" t="str">
        <x:v>Assign source, release and backup access roles; require strong account authentication, access expiry and periodic review, including external contractors.</x:v>
      </x:c>
      <x:c r="C11" s="46" t="str">
        <x:v>Named access owners, tested removal and review cadence; no single public-edit archive is a trust anchor.</x:v>
      </x:c>
      <x:c r="D11" s="46" t="str">
        <x:v>E01,R01,R02,R15</x:v>
      </x:c>
      <x:c r="E11" s="46" t="str">
        <x:v>https://developers.google.com/workspace/drive/api/reference/rest/v3/permissions
https://docs.github.com/en/actions/reference/security/secure-use</x:v>
      </x:c>
      <x:c r="F11" s="46" t="str">
        <x:v>QA-30</x:v>
      </x:c>
      <x:c r="G11" s="46" t="str">
        <x:v>Source/isolated QA only; production, sharing, credentials and commercial approvals require accountable authorization.</x:v>
      </x:c>
    </x:row>
    <x:row r="12" ht="156" customHeight="1">
      <x:c r="A12" s="46" t="str">
        <x:v>SRC01</x:v>
      </x:c>
      <x:c r="B12" s="46" t="str">
        <x:v>Resolve one trusted Git repository/ref and pin its commit plus working-tree fingerprint; treat Drive as a workspace/evidence store, not a deployment selector.</x:v>
      </x:c>
      <x:c r="C12" s="46" t="str">
        <x:v>A clean reproducible checkout with explicit ownership and no ambiguous current branch or archive-selected source.</x:v>
      </x:c>
      <x:c r="D12" s="46" t="str">
        <x:v>E02,E03,E11,E12,E15,E17,E26,E28,E29,H02</x:v>
      </x:c>
      <x:c r="E12" s="46" t="str">
        <x:v>https://drive.google.com/file/d/1NBjccCUL0GExYKlWVsGptSv3TttePFa7/view
https://drive.google.com/file/d/1W-wB0714GR2PtTb01XldFYbQcFhL_1AC/view</x:v>
      </x:c>
      <x:c r="F12" s="46" t="str">
        <x:v>QA-01</x:v>
      </x:c>
      <x:c r="G12" s="46" t="str">
        <x:v>Source/isolated QA only; production, sharing, credentials and commercial approvals require accountable authorization.</x:v>
      </x:c>
    </x:row>
    <x:row r="13" ht="156" customHeight="1">
      <x:c r="A13" s="46" t="str">
        <x:v>SRC02</x:v>
      </x:c>
      <x:c r="B13" s="46" t="str">
        <x:v>Compare initial review through Batch 12 manifests to canonical paths; classify each change as installed, superseded, archive-only, conflict or intentionally omitted.</x:v>
      </x:c>
      <x:c r="C13" s="46" t="str">
        <x:v>File-by-file install/disposition register; no promise of installation derived only from an archive upload.</x:v>
      </x:c>
      <x:c r="D13" s="46" t="str">
        <x:v>E02,E03,E11,E12,E15,E17,E26,E28,E29,H02</x:v>
      </x:c>
      <x:c r="E13" s="46" t="str">
        <x:v>https://drive.google.com/file/d/1NBjccCUL0GExYKlWVsGptSv3TttePFa7/view
https://drive.google.com/file/d/1W-wB0714GR2PtTb01XldFYbQcFhL_1AC/view</x:v>
      </x:c>
      <x:c r="F13" s="46" t="str">
        <x:v>QA-30</x:v>
      </x:c>
      <x:c r="G13" s="46" t="str">
        <x:v>Source/isolated QA only; production, sharing, credentials and commercial approvals require accountable authorization.</x:v>
      </x:c>
    </x:row>
    <x:row r="14" ht="156" customHeight="1">
      <x:c r="A14" s="46" t="str">
        <x:v>SRC03</x:v>
      </x:c>
      <x:c r="B14" s="46" t="str">
        <x:v>Review .revised copies and duplicate source variants; merge accepted behavior into canonical entrypoints without overwriting newer work.</x:v>
      </x:c>
      <x:c r="C14" s="46" t="str">
        <x:v>One governed runtime implementation per concern; revision/archive copies excluded from runtime discovery and preserved separately.</x:v>
      </x:c>
      <x:c r="D14" s="46" t="str">
        <x:v>E02,E03,E11,E12,E15,E17,E26,E28,E29,H02</x:v>
      </x:c>
      <x:c r="E14" s="46" t="str">
        <x:v>https://drive.google.com/file/d/1NBjccCUL0GExYKlWVsGptSv3TttePFa7/view
https://drive.google.com/file/d/1W-wB0714GR2PtTb01XldFYbQcFhL_1AC/view</x:v>
      </x:c>
      <x:c r="F14" s="46" t="str">
        <x:v>QA-30</x:v>
      </x:c>
      <x:c r="G14" s="46" t="str">
        <x:v>Source/isolated QA only; production, sharing, credentials and commercial approvals require accountable authorization.</x:v>
      </x:c>
    </x:row>
    <x:row r="15" ht="156" customHeight="1">
      <x:c r="A15" s="46" t="str">
        <x:v>SRC04</x:v>
      </x:c>
      <x:c r="B15" s="46" t="str">
        <x:v>Connect the accepted immutable-snapshot reader, import process and publication schema to the actual configured entrypoint.</x:v>
      </x:c>
      <x:c r="C15" s="46" t="str">
        <x:v>Configuration-to-import-to-publish-to-read integration passes on exact installed source; legacy tables are not silently authoritative.</x:v>
      </x:c>
      <x:c r="D15" s="46" t="str">
        <x:v>E02,E03,E11,E12,E15,E17,E26,E28,E29,H02</x:v>
      </x:c>
      <x:c r="E15" s="46" t="str">
        <x:v>https://drive.google.com/file/d/1NBjccCUL0GExYKlWVsGptSv3TttePFa7/view
https://drive.google.com/file/d/1W-wB0714GR2PtTb01XldFYbQcFhL_1AC/view</x:v>
      </x:c>
      <x:c r="F15" s="46" t="str">
        <x:v>QA-30</x:v>
      </x:c>
      <x:c r="G15" s="46" t="str">
        <x:v>Source/isolated QA only; production, sharing, credentials and commercial approvals require accountable authorization.</x:v>
      </x:c>
    </x:row>
    <x:row r="16" ht="156" customHeight="1">
      <x:c r="A16" s="46" t="str">
        <x:v>SRC05</x:v>
      </x:c>
      <x:c r="B16" s="46" t="str">
        <x:v>Reconcile missing console configuration/worker and session RPC mismatch; choose one consistent gateway, publisher and console contract.</x:v>
      </x:c>
      <x:c r="C16" s="46" t="str">
        <x:v>The actual configured console bundles, authenticates and calls only existing versioned publisher methods; complete review/confirm flow succeeds.</x:v>
      </x:c>
      <x:c r="D16" s="46" t="str">
        <x:v>E02,E03,E11,E12,E15,E17,E26,E28,E29,H02</x:v>
      </x:c>
      <x:c r="E16" s="46" t="str">
        <x:v>https://drive.google.com/file/d/1NBjccCUL0GExYKlWVsGptSv3TttePFa7/view
https://drive.google.com/file/d/1W-wB0714GR2PtTb01XldFYbQcFhL_1AC/view</x:v>
      </x:c>
      <x:c r="F16" s="46" t="str">
        <x:v>QA-30</x:v>
      </x:c>
      <x:c r="G16" s="46" t="str">
        <x:v>Source/isolated QA only; production, sharing, credentials and commercial approvals require accountable authorization.</x:v>
      </x:c>
    </x:row>
    <x:row r="17" ht="156" customHeight="1">
      <x:c r="A17" s="46" t="str">
        <x:v>SRC06</x:v>
      </x:c>
      <x:c r="B17" s="46" t="str">
        <x:v>Keep retired runtime detection while allowing exact approved migration-evidence paths/hashes; do not disable the scanner or exclude all docs.</x:v>
      </x:c>
      <x:c r="C17" s="46" t="str">
        <x:v>Current plan/inventory pass, forbidden runtime fixtures fail, registry expiry/hash mutations fail; canonical CI invokes corrected validator.</x:v>
      </x:c>
      <x:c r="D17" s="46" t="str">
        <x:v>E02,E03,E11,E12,E15,E17,E26,E28,E29,H02</x:v>
      </x:c>
      <x:c r="E17" s="46" t="str">
        <x:v>https://drive.google.com/file/d/1NBjccCUL0GExYKlWVsGptSv3TttePFa7/view
https://drive.google.com/file/d/1W-wB0714GR2PtTb01XldFYbQcFhL_1AC/view</x:v>
      </x:c>
      <x:c r="F17" s="46" t="str">
        <x:v>QA-30</x:v>
      </x:c>
      <x:c r="G17" s="46" t="str">
        <x:v>Source/isolated QA only; production, sharing, credentials and commercial approvals require accountable authorization.</x:v>
      </x:c>
    </x:row>
    <x:row r="18" ht="156" customHeight="1">
      <x:c r="A18" s="46" t="str">
        <x:v>SRC07</x:v>
      </x:c>
      <x:c r="B18" s="46" t="str">
        <x:v>Retain the shared monorepo; compare D1 transactional plan against measured requirements and a Workers-to-PostgreSQL alternative only if needed.</x:v>
      </x:c>
      <x:c r="C18" s="46" t="str">
        <x:v>Approved ADR for each domain, consistency and data-residency boundaries; no implicit Supabase-exit reversal.</x:v>
      </x:c>
      <x:c r="D18" s="46" t="str">
        <x:v>E02,E03,E11,E12,E15,E17,E26,E28,E29,H02</x:v>
      </x:c>
      <x:c r="E18" s="46" t="str">
        <x:v>https://drive.google.com/file/d/1NBjccCUL0GExYKlWVsGptSv3TttePFa7/view
https://drive.google.com/file/d/1W-wB0714GR2PtTb01XldFYbQcFhL_1AC/view</x:v>
      </x:c>
      <x:c r="F18" s="46" t="str">
        <x:v>New audit requirement</x:v>
      </x:c>
      <x:c r="G18" s="46" t="str">
        <x:v>Source/isolated QA only; production, sharing, credentials and commercial approvals require accountable authorization.</x:v>
      </x:c>
    </x:row>
    <x:row r="19" ht="156" customHeight="1">
      <x:c r="A19" s="46" t="str">
        <x:v>SRC08</x:v>
      </x:c>
      <x:c r="B19" s="46" t="str">
        <x:v>Map native/public/admin routes to APIs, domain commands, tables, private bindings and owner roles; include compatibility versions.</x:v>
      </x:c>
      <x:c r="C19" s="46" t="str">
        <x:v>Every enabled journey has a maintained call graph, writer and authorization owner; no parallel unowned implementation.</x:v>
      </x:c>
      <x:c r="D19" s="46" t="str">
        <x:v>E02,E03,E11,E12,E15,E17,E26,E28,E29,H02</x:v>
      </x:c>
      <x:c r="E19" s="46" t="str">
        <x:v>https://drive.google.com/file/d/1NBjccCUL0GExYKlWVsGptSv3TttePFa7/view
https://drive.google.com/file/d/1W-wB0714GR2PtTb01XldFYbQcFhL_1AC/view</x:v>
      </x:c>
      <x:c r="F19" s="46" t="str">
        <x:v>QA-02</x:v>
      </x:c>
      <x:c r="G19" s="46" t="str">
        <x:v>Source/isolated QA only; production, sharing, credentials and commercial approvals require accountable authorization.</x:v>
      </x:c>
    </x:row>
    <x:row r="20" ht="156" customHeight="1">
      <x:c r="A20" s="46" t="str">
        <x:v>SRC09</x:v>
      </x:c>
      <x:c r="B20" s="46" t="str">
        <x:v>Specify build capability, club configuration, runtime policy and user authorization precedence; test empty/malformed/stale config and direct deep links.</x:v>
      </x:c>
      <x:c r="C20" s="46" t="str">
        <x:v>Wrong-club and disabled-feature requests fail at server and route levels; recovery route works with no enabled modules.</x:v>
      </x:c>
      <x:c r="D20" s="46" t="str">
        <x:v>E02,E03,E11,E12,E15,E17,E26,E28,E29,H02</x:v>
      </x:c>
      <x:c r="E20" s="46" t="str">
        <x:v>https://drive.google.com/file/d/1NBjccCUL0GExYKlWVsGptSv3TttePFa7/view
https://drive.google.com/file/d/1W-wB0714GR2PtTb01XldFYbQcFhL_1AC/view</x:v>
      </x:c>
      <x:c r="F20" s="46" t="str">
        <x:v>New audit requirement</x:v>
      </x:c>
      <x:c r="G20" s="46" t="str">
        <x:v>Source/isolated QA only; production, sharing, credentials and commercial approvals require accountable authorization.</x:v>
      </x:c>
    </x:row>
    <x:row r="21" ht="156" customHeight="1">
      <x:c r="A21" s="46" t="str">
        <x:v>SRC10</x:v>
      </x:c>
      <x:c r="B21" s="46" t="str">
        <x:v>Separate generated caches, environment files, build output and archives from release source; confirm Git tracking before deleting or moving anything.</x:v>
      </x:c>
      <x:c r="C21" s="46" t="str">
        <x:v>Clean export is reproducible; no historic financial evidence, backup or active media removed as generic cleanup.</x:v>
      </x:c>
      <x:c r="D21" s="46" t="str">
        <x:v>E02,E03,E11,E12,E15,E17,E26,E28,E29,H02</x:v>
      </x:c>
      <x:c r="E21" s="46" t="str">
        <x:v>https://drive.google.com/file/d/1NBjccCUL0GExYKlWVsGptSv3TttePFa7/view
https://drive.google.com/file/d/1W-wB0714GR2PtTb01XldFYbQcFhL_1AC/view</x:v>
      </x:c>
      <x:c r="F21" s="46" t="str">
        <x:v>New audit requirement</x:v>
      </x:c>
      <x:c r="G21" s="46" t="str">
        <x:v>Source/isolated QA only; production, sharing, credentials and commercial approvals require accountable authorization.</x:v>
      </x:c>
    </x:row>
    <x:row r="22" ht="156" customHeight="1">
      <x:c r="A22" s="46" t="str">
        <x:v>CI01</x:v>
      </x:c>
      <x:c r="B22" s="46" t="str">
        <x:v>Resolve the connected repository access/rename/installation issue; inspect current runs and branch protections without triggering deployment.</x:v>
      </x:c>
      <x:c r="C22" s="46" t="str">
        <x:v>Current repo identity and readable run/required-check evidence; 404 cause resolved, not assumed to be billing.</x:v>
      </x:c>
      <x:c r="D22" s="46" t="str">
        <x:v>E06,E07,E08,E09,E10,E30,E31,R02,R03,R04</x:v>
      </x:c>
      <x:c r="E22" s="46" t="str">
        <x:v>https://drive.google.com/file/d/1vza_RNiaP7bOgavHdtYifYUk4uYBoOXM/view
https://drive.google.com/file/d/1JriJdKI5Zl66Zb0tcrD49U8vIXdk9_su/view</x:v>
      </x:c>
      <x:c r="F22" s="46" t="str">
        <x:v>QA-32</x:v>
      </x:c>
      <x:c r="G22" s="46" t="str">
        <x:v>Source/isolated QA only; production, sharing, credentials and commercial approvals require accountable authorization.</x:v>
      </x:c>
    </x:row>
    <x:row r="23" ht="156" customHeight="1">
      <x:c r="A23" s="46" t="str">
        <x:v>CI02</x:v>
      </x:c>
      <x:c r="B23" s="46" t="str">
        <x:v>Use .fvmrc 3.44.9, .nvmrc 22.23.2 and npm@12.0.2 as current source pins; reconcile all CI/bootstrap wrappers against them.</x:v>
      </x:c>
      <x:c r="C23" s="46" t="str">
        <x:v>Clean runner reports exact versions and locked restore; older local test runtimes are labelled rather than called production builds.</x:v>
      </x:c>
      <x:c r="D23" s="46" t="str">
        <x:v>E06,E07,E08,E09,E10,E30,E31,R02,R03,R04</x:v>
      </x:c>
      <x:c r="E23" s="46" t="str">
        <x:v>https://drive.google.com/file/d/1vza_RNiaP7bOgavHdtYifYUk4uYBoOXM/view
https://drive.google.com/file/d/1JriJdKI5Zl66Zb0tcrD49U8vIXdk9_su/view</x:v>
      </x:c>
      <x:c r="F23" s="46" t="str">
        <x:v>QA-01</x:v>
      </x:c>
      <x:c r="G23" s="46" t="str">
        <x:v>Source/isolated QA only; production, sharing, credentials and commercial approvals require accountable authorization.</x:v>
      </x:c>
    </x:row>
    <x:row r="24" ht="156" customHeight="1">
      <x:c r="A24" s="46" t="str">
        <x:v>CI03</x:v>
      </x:c>
      <x:c r="B24" s="46" t="str">
        <x:v>Make standalone web deployment depend on the exact successful candidate checks and protected environment approval.</x:v>
      </x:c>
      <x:c r="C24" s="46" t="str">
        <x:v>A deliberately failing typecheck/test cannot deploy through push, dispatch or direct workflow path; artifact hash is identical.</x:v>
      </x:c>
      <x:c r="D24" s="46" t="str">
        <x:v>E06,E07,E08,E09,E10,E30,E31,R02,R03,R04</x:v>
      </x:c>
      <x:c r="E24" s="46" t="str">
        <x:v>https://drive.google.com/file/d/1vza_RNiaP7bOgavHdtYifYUk4uYBoOXM/view
https://drive.google.com/file/d/1JriJdKI5Zl66Zb0tcrD49U8vIXdk9_su/view</x:v>
      </x:c>
      <x:c r="F24" s="46" t="str">
        <x:v>QA-32</x:v>
      </x:c>
      <x:c r="G24" s="46" t="str">
        <x:v>Source/isolated QA only; production, sharing, credentials and commercial approvals require accountable authorization.</x:v>
      </x:c>
    </x:row>
    <x:row r="25" ht="156" customHeight="1">
      <x:c r="A25" s="46" t="str">
        <x:v>CI04</x:v>
      </x:c>
      <x:c r="B25" s="46" t="str">
        <x:v>Either restore build-time TypeScript checking or prove an unavoidable separate typecheck immediately before all release paths.</x:v>
      </x:c>
      <x:c r="C25" s="46" t="str">
        <x:v>Bad-type fixture is rejected in each supported build/deploy route; ignoreBuildErrors cannot bypass acceptance.</x:v>
      </x:c>
      <x:c r="D25" s="46" t="str">
        <x:v>E06,E07,E08,E09,E10,E30,E31,R02,R03,R04</x:v>
      </x:c>
      <x:c r="E25" s="46" t="str">
        <x:v>https://drive.google.com/file/d/1vza_RNiaP7bOgavHdtYifYUk4uYBoOXM/view
https://drive.google.com/file/d/1JriJdKI5Zl66Zb0tcrD49U8vIXdk9_su/view</x:v>
      </x:c>
      <x:c r="F25" s="46" t="str">
        <x:v>QA-32</x:v>
      </x:c>
      <x:c r="G25" s="46" t="str">
        <x:v>Source/isolated QA only; production, sharing, credentials and commercial approvals require accountable authorization.</x:v>
      </x:c>
    </x:row>
    <x:row r="26" ht="156" customHeight="1">
      <x:c r="A26" s="46" t="str">
        <x:v>CI05</x:v>
      </x:c>
      <x:c r="B26" s="46" t="str">
        <x:v>Run new public snapshot, operator, identity, receipt, allocation, checkout and gateway suites on changes and release candidates.</x:v>
      </x:c>
      <x:c r="C26" s="46" t="str">
        <x:v>CI records explicit passed/failed/skipped counts by module and commit; missing module suite blocks its release.</x:v>
      </x:c>
      <x:c r="D26" s="46" t="str">
        <x:v>E06,E07,E08,E09,E10,E30,E31,R02,R03,R04</x:v>
      </x:c>
      <x:c r="E26" s="46" t="str">
        <x:v>https://drive.google.com/file/d/1vza_RNiaP7bOgavHdtYifYUk4uYBoOXM/view
https://drive.google.com/file/d/1JriJdKI5Zl66Zb0tcrD49U8vIXdk9_su/view</x:v>
      </x:c>
      <x:c r="F26" s="46" t="str">
        <x:v>QA-04,QA-19</x:v>
      </x:c>
      <x:c r="G26" s="46" t="str">
        <x:v>Source/isolated QA only; production, sharing, credentials and commercial approvals require accountable authorization.</x:v>
      </x:c>
    </x:row>
    <x:row r="27" ht="156" customHeight="1">
      <x:c r="A27" s="46" t="str">
        <x:v>CI06</x:v>
      </x:c>
      <x:c r="B27" s="46" t="str">
        <x:v>Create Android/iOS build matrices for five clubs, with unique identity/config checks; separate simulator/debug from signed device artifacts.</x:v>
      </x:c>
      <x:c r="C27" s="46" t="str">
        <x:v>Ten current candidate build records or approved disabled-scope decisions; no four-club result reused as Costa acceptance.</x:v>
      </x:c>
      <x:c r="D27" s="46" t="str">
        <x:v>E06,E07,E08,E09,E10,E30,E31,R02,R03,R04</x:v>
      </x:c>
      <x:c r="E27" s="46" t="str">
        <x:v>https://drive.google.com/file/d/1vza_RNiaP7bOgavHdtYifYUk4uYBoOXM/view
https://drive.google.com/file/d/1JriJdKI5Zl66Zb0tcrD49U8vIXdk9_su/view</x:v>
      </x:c>
      <x:c r="F27" s="46" t="str">
        <x:v>QA-04,QA-23</x:v>
      </x:c>
      <x:c r="G27" s="46" t="str">
        <x:v>Source/isolated QA only; production, sharing, credentials and commercial approvals require accountable authorization.</x:v>
      </x:c>
    </x:row>
    <x:row r="28" ht="156" customHeight="1">
      <x:c r="A28" s="46" t="str">
        <x:v>CI07</x:v>
      </x:c>
      <x:c r="B28" s="46" t="str">
        <x:v>Pin external actions to reviewed full SHAs, scope token permissions and isolate untrusted PR execution from release secrets.</x:v>
      </x:c>
      <x:c r="C28" s="46" t="str">
        <x:v>Reviewed workflow policy plus a permissions test; no writable default token or release secrets in untrusted jobs.</x:v>
      </x:c>
      <x:c r="D28" s="46" t="str">
        <x:v>E06,E07,E08,E09,E10,E30,E31,R02,R03,R04</x:v>
      </x:c>
      <x:c r="E28" s="46" t="str">
        <x:v>https://drive.google.com/file/d/1vza_RNiaP7bOgavHdtYifYUk4uYBoOXM/view
https://drive.google.com/file/d/1JriJdKI5Zl66Zb0tcrD49U8vIXdk9_su/view</x:v>
      </x:c>
      <x:c r="F28" s="46" t="str">
        <x:v>QA-32</x:v>
      </x:c>
      <x:c r="G28" s="46" t="str">
        <x:v>Source/isolated QA only; production, sharing, credentials and commercial approvals require accountable authorization.</x:v>
      </x:c>
    </x:row>
    <x:row r="29" ht="156" customHeight="1">
      <x:c r="A29" s="46" t="str">
        <x:v>CI08</x:v>
      </x:c>
      <x:c r="B29" s="46" t="str">
        <x:v>Run locked production/dev dependency scans and produce a software bill of materials; validate relevant upstream advisories against actual resolved versions.</x:v>
      </x:c>
      <x:c r="C29" s="46" t="str">
        <x:v>Timestamped scan, exploitability triage and SBOM for each artifact; historical zero-alert reports not reused as current proof.</x:v>
      </x:c>
      <x:c r="D29" s="46" t="str">
        <x:v>E06,E07,E08,E09,E10,E30,E31,R02,R03,R04</x:v>
      </x:c>
      <x:c r="E29" s="46" t="str">
        <x:v>https://drive.google.com/file/d/1vza_RNiaP7bOgavHdtYifYUk4uYBoOXM/view
https://drive.google.com/file/d/1JriJdKI5Zl66Zb0tcrD49U8vIXdk9_su/view</x:v>
      </x:c>
      <x:c r="F29" s="46" t="str">
        <x:v>QA-04</x:v>
      </x:c>
      <x:c r="G29" s="46" t="str">
        <x:v>Source/isolated QA only; production, sharing, credentials and commercial approvals require accountable authorization.</x:v>
      </x:c>
    </x:row>
    <x:row r="30" ht="156" customHeight="1">
      <x:c r="A30" s="46" t="str">
        <x:v>CI09</x:v>
      </x:c>
      <x:c r="B30" s="46" t="str">
        <x:v>Bind commit/worktree, lockfiles, configuration, generated assets, migrations and binary hashes to immutable release evidence.</x:v>
      </x:c>
      <x:c r="C30" s="46" t="str">
        <x:v>Signed or independently protected provenance and verification from downloaded release artifacts.</x:v>
      </x:c>
      <x:c r="D30" s="46" t="str">
        <x:v>E06,E07,E08,E09,E10,E30,E31,R02,R03,R04</x:v>
      </x:c>
      <x:c r="E30" s="46" t="str">
        <x:v>https://drive.google.com/file/d/1vza_RNiaP7bOgavHdtYifYUk4uYBoOXM/view
https://drive.google.com/file/d/1JriJdKI5Zl66Zb0tcrD49U8vIXdk9_su/view</x:v>
      </x:c>
      <x:c r="F30" s="46" t="str">
        <x:v>QA-31</x:v>
      </x:c>
      <x:c r="G30" s="46" t="str">
        <x:v>Source/isolated QA only; production, sharing, credentials and commercial approvals require accountable authorization.</x:v>
      </x:c>
    </x:row>
    <x:row r="31" ht="156" customHeight="1">
      <x:c r="A31" s="46" t="str">
        <x:v>CI10</x:v>
      </x:c>
      <x:c r="B31" s="46" t="str">
        <x:v>Run actual Dart/Flutter, Android, Apple SDK and workerd/Wrangler builds instead of desktop-language or syntax-only substitutes.</x:v>
      </x:c>
      <x:c r="C31" s="46" t="str">
        <x:v>Target runtime logs and native host tests; unavailable tooling remains blocked, not skipped-as-pass.</x:v>
      </x:c>
      <x:c r="D31" s="46" t="str">
        <x:v>E06,E07,E08,E09,E10,E30,E31,R02,R03,R04</x:v>
      </x:c>
      <x:c r="E31" s="46" t="str">
        <x:v>https://drive.google.com/file/d/1vza_RNiaP7bOgavHdtYifYUk4uYBoOXM/view
https://drive.google.com/file/d/1JriJdKI5Zl66Zb0tcrD49U8vIXdk9_su/view</x:v>
      </x:c>
      <x:c r="F31" s="46" t="str">
        <x:v>QA-01,QA-04</x:v>
      </x:c>
      <x:c r="G31" s="46" t="str">
        <x:v>Source/isolated QA only; production, sharing, credentials and commercial approvals require accountable authorization.</x:v>
      </x:c>
    </x:row>
    <x:row r="32" ht="156" customHeight="1">
      <x:c r="A32" s="46" t="str">
        <x:v>AUT01</x:v>
      </x:c>
      <x:c r="B32" s="46" t="str">
        <x:v>Map existing user IDs, verified phones, anonymous accounts and club bindings; define duplicate/ambiguous account handling without auto-merging.</x:v>
      </x:c>
      <x:c r="C32" s="46" t="str">
        <x:v>Reconciled one-to-one identity report plus denied ambiguous cases; original ownership preserved.</x:v>
      </x:c>
      <x:c r="D32" s="46" t="str">
        <x:v>E18,E20,E22,E26,R08,R11,R12,R13</x:v>
      </x:c>
      <x:c r="E32" s="46" t="str">
        <x:v>https://drive.google.com/file/d/1ZMOX3aVmWujKCYV_YahrkQ5NPbFXuY7h/view
https://drive.google.com/file/d/1xBC0GmbHRGxECDyg0sSoYLxCLc5B19DJ/view</x:v>
      </x:c>
      <x:c r="F32" s="46" t="str">
        <x:v>QA-09</x:v>
      </x:c>
      <x:c r="G32" s="46" t="str">
        <x:v>Source/isolated QA only; production, sharing, credentials and commercial approvals require accountable authorization.</x:v>
      </x:c>
    </x:row>
    <x:row r="33" ht="156" customHeight="1">
      <x:c r="A33" s="46" t="str">
        <x:v>AUT02</x:v>
      </x:c>
      <x:c r="B33" s="46" t="str">
        <x:v>Build token storage separately from checkout marker storage using platform protections, scoped keys and explicit account lifecycle.</x:v>
      </x:c>
      <x:c r="C33" s="46" t="str">
        <x:v>Actual Android/iOS tests for locked state, refresh, logout, switch, backup and key invalidation; no tokens in preferences/logs.</x:v>
      </x:c>
      <x:c r="D33" s="46" t="str">
        <x:v>E18,E20,E22,E26,R08,R11,R12,R13</x:v>
      </x:c>
      <x:c r="E33" s="46" t="str">
        <x:v>https://drive.google.com/file/d/1ZMOX3aVmWujKCYV_YahrkQ5NPbFXuY7h/view
https://drive.google.com/file/d/1xBC0GmbHRGxECDyg0sSoYLxCLc5B19DJ/view</x:v>
      </x:c>
      <x:c r="F33" s="46" t="str">
        <x:v>QA-09</x:v>
      </x:c>
      <x:c r="G33" s="46" t="str">
        <x:v>Source/isolated QA only; production, sharing, credentials and commercial approvals require accountable authorization.</x:v>
      </x:c>
    </x:row>
    <x:row r="34" ht="156" customHeight="1">
      <x:c r="A34" s="46" t="str">
        <x:v>AUT03</x:v>
      </x:c>
      <x:c r="B34" s="46" t="str">
        <x:v>Implement approved guest entry, verified signup and explicit anonymous-account linking while preserving cross-club ownership.</x:v>
      </x:c>
      <x:c r="C34" s="46" t="str">
        <x:v>Actual clients exercise guest-to-verified migration, existing phone conflicts and disabled signup without data loss.</x:v>
      </x:c>
      <x:c r="D34" s="46" t="str">
        <x:v>E18,E20,E22,E26,R08,R11,R12,R13</x:v>
      </x:c>
      <x:c r="E34" s="46" t="str">
        <x:v>https://drive.google.com/file/d/1ZMOX3aVmWujKCYV_YahrkQ5NPbFXuY7h/view
https://drive.google.com/file/d/1xBC0GmbHRGxECDyg0sSoYLxCLc5B19DJ/view</x:v>
      </x:c>
      <x:c r="F34" s="46" t="str">
        <x:v>QA-09</x:v>
      </x:c>
      <x:c r="G34" s="46" t="str">
        <x:v>Source/isolated QA only; production, sharing, credentials and commercial approvals require accountable authorization.</x:v>
      </x:c>
    </x:row>
    <x:row r="35" ht="156" customHeight="1">
      <x:c r="A35" s="46" t="str">
        <x:v>AUT04</x:v>
      </x:c>
      <x:c r="B35" s="46" t="str">
        <x:v>Require a risk-reviewed recovery path for phone change, SIM/account loss and recycled numbers; avoid login-by-name or suffix matching.</x:v>
      </x:c>
      <x:c r="C35" s="46" t="str">
        <x:v>Unauthorized takeover tests fail; legitimate recovery has audit evidence and clearly bounded delay/review.</x:v>
      </x:c>
      <x:c r="D35" s="46" t="str">
        <x:v>E18,E20,E22,E26,R08,R11,R12,R13</x:v>
      </x:c>
      <x:c r="E35" s="46" t="str">
        <x:v>https://drive.google.com/file/d/1ZMOX3aVmWujKCYV_YahrkQ5NPbFXuY7h/view
https://drive.google.com/file/d/1xBC0GmbHRGxECDyg0sSoYLxCLc5B19DJ/view</x:v>
      </x:c>
      <x:c r="F35" s="46" t="str">
        <x:v>QA-09</x:v>
      </x:c>
      <x:c r="G35" s="46" t="str">
        <x:v>Source/isolated QA only; production, sharing, credentials and commercial approvals require accountable authorization.</x:v>
      </x:c>
    </x:row>
    <x:row r="36" ht="156" customHeight="1">
      <x:c r="A36" s="46" t="str">
        <x:v>AUT05</x:v>
      </x:c>
      <x:c r="B36" s="46" t="str">
        <x:v>Use approved WhatsApp authentication templates and provider identities; test invalid signature, cooldown, undelivered, duplicate and delayed events.</x:v>
      </x:c>
      <x:c r="C36" s="46" t="str">
        <x:v>Authorized test recipients and provider receipts linked to actual challenge IDs; provider acceptance not equated to handset delivery.</x:v>
      </x:c>
      <x:c r="D36" s="46" t="str">
        <x:v>E18,E20,E22,E26,R08,R11,R12,R13</x:v>
      </x:c>
      <x:c r="E36" s="46" t="str">
        <x:v>https://drive.google.com/file/d/1ZMOX3aVmWujKCYV_YahrkQ5NPbFXuY7h/view
https://drive.google.com/file/d/1xBC0GmbHRGxECDyg0sSoYLxCLc5B19DJ/view</x:v>
      </x:c>
      <x:c r="F36" s="46" t="str">
        <x:v>QA-21,QA-34</x:v>
      </x:c>
      <x:c r="G36" s="46" t="str">
        <x:v>Source/isolated QA only; production, sharing, credentials and commercial approvals require accountable authorization.</x:v>
      </x:c>
    </x:row>
    <x:row r="37" ht="156" customHeight="1">
      <x:c r="A37" s="46" t="str">
        <x:v>AUT06</x:v>
      </x:c>
      <x:c r="B37" s="46" t="str">
        <x:v>Review the remaining default legacy sender route and ensure the selected production path has persistent deduplication and bounded unknown-outcome handling.</x:v>
      </x:c>
      <x:c r="C37" s="46" t="str">
        <x:v>Configuration and crash-after-send tests cannot duplicate external messages through fallback or retries.</x:v>
      </x:c>
      <x:c r="D37" s="46" t="str">
        <x:v>E18,E20,E22,E26,R08,R11,R12,R13</x:v>
      </x:c>
      <x:c r="E37" s="46" t="str">
        <x:v>https://drive.google.com/file/d/1ZMOX3aVmWujKCYV_YahrkQ5NPbFXuY7h/view
https://drive.google.com/file/d/1xBC0GmbHRGxECDyg0sSoYLxCLc5B19DJ/view</x:v>
      </x:c>
      <x:c r="F37" s="46" t="str">
        <x:v>QA-21</x:v>
      </x:c>
      <x:c r="G37" s="46" t="str">
        <x:v>Source/isolated QA only; production, sharing, credentials and commercial approvals require accountable authorization.</x:v>
      </x:c>
    </x:row>
    <x:row r="38" ht="156" customHeight="1">
      <x:c r="A38" s="46" t="str">
        <x:v>AUT07</x:v>
      </x:c>
      <x:c r="B38" s="46" t="str">
        <x:v>Choose a documented command boundary, short-lived capability/revision mechanism or shared authority for sensitive writes; model what revocation can and cannot cancel.</x:v>
      </x:c>
      <x:c r="C38" s="46" t="str">
        <x:v>Race tests establish the approved semantics; no claim that a post-write identity recheck rolls back an already committed mutation.</x:v>
      </x:c>
      <x:c r="D38" s="46" t="str">
        <x:v>E18,E20,E22,E26,R08,R11,R12,R13</x:v>
      </x:c>
      <x:c r="E38" s="46" t="str">
        <x:v>https://drive.google.com/file/d/1ZMOX3aVmWujKCYV_YahrkQ5NPbFXuY7h/view
https://drive.google.com/file/d/1xBC0GmbHRGxECDyg0sSoYLxCLc5B19DJ/view</x:v>
      </x:c>
      <x:c r="F38" s="46" t="str">
        <x:v>New audit requirement</x:v>
      </x:c>
      <x:c r="G38" s="46" t="str">
        <x:v>Source/isolated QA only; production, sharing, credentials and commercial approvals require accountable authorization.</x:v>
      </x:c>
    </x:row>
    <x:row r="39" ht="156" customHeight="1">
      <x:c r="A39" s="46" t="str">
        <x:v>AUT08</x:v>
      </x:c>
      <x:c r="B39" s="46" t="str">
        <x:v>Integrate rotating credentials, original-operation replay and account switch across native/web; preserve unknown outcomes after server commit.</x:v>
      </x:c>
      <x:c r="C39" s="46" t="str">
        <x:v>Expiry/reuse/revoke/reload/process-death tests on actual clients; stale credentials cannot act as a different user.</x:v>
      </x:c>
      <x:c r="D39" s="46" t="str">
        <x:v>E18,E20,E22,E26,R08,R11,R12,R13</x:v>
      </x:c>
      <x:c r="E39" s="46" t="str">
        <x:v>https://drive.google.com/file/d/1ZMOX3aVmWujKCYV_YahrkQ5NPbFXuY7h/view
https://drive.google.com/file/d/1xBC0GmbHRGxECDyg0sSoYLxCLc5B19DJ/view</x:v>
      </x:c>
      <x:c r="F39" s="46" t="str">
        <x:v>QA-09,QA-11</x:v>
      </x:c>
      <x:c r="G39" s="46" t="str">
        <x:v>Source/isolated QA only; production, sharing, credentials and commercial approvals require accountable authorization.</x:v>
      </x:c>
    </x:row>
    <x:row r="40" ht="156" customHeight="1">
      <x:c r="A40" s="46" t="str">
        <x:v>AUT09</x:v>
      </x:c>
      <x:c r="B40" s="46" t="str">
        <x:v>Define separate staff roles and bounded grants, strong sign-in, approval separation for sensitive money/admin actions and emergency access.</x:v>
      </x:c>
      <x:c r="C40" s="46" t="str">
        <x:v>Wrong-role, expired-grant, cross-club and revoke/re-enable tests; emergency use is attributable and reviewed.</x:v>
      </x:c>
      <x:c r="D40" s="46" t="str">
        <x:v>E18,E20,E22,E26,R08,R11,R12,R13</x:v>
      </x:c>
      <x:c r="E40" s="46" t="str">
        <x:v>https://drive.google.com/file/d/1ZMOX3aVmWujKCYV_YahrkQ5NPbFXuY7h/view
https://drive.google.com/file/d/1xBC0GmbHRGxECDyg0sSoYLxCLc5B19DJ/view</x:v>
      </x:c>
      <x:c r="F40" s="46" t="str">
        <x:v>QA-17</x:v>
      </x:c>
      <x:c r="G40" s="46" t="str">
        <x:v>Source/isolated QA only; production, sharing, credentials and commercial approvals require accountable authorization.</x:v>
      </x:c>
    </x:row>
    <x:row r="41" ht="156" customHeight="1">
      <x:c r="A41" s="46" t="str">
        <x:v>AUT10</x:v>
      </x:c>
      <x:c r="B41" s="46" t="str">
        <x:v>Implement a deliberate browser-cookie/session strategy rather than exposing the native bearer gateway to arbitrary origins.</x:v>
      </x:c>
      <x:c r="C41" s="46" t="str">
        <x:v>CSRF, cookie attributes, same-origin, logout, session fixation and replay tests pass for member/admin web.</x:v>
      </x:c>
      <x:c r="D41" s="46" t="str">
        <x:v>E18,E20,E22,E26,R08,R11,R12,R13</x:v>
      </x:c>
      <x:c r="E41" s="46" t="str">
        <x:v>https://drive.google.com/file/d/1ZMOX3aVmWujKCYV_YahrkQ5NPbFXuY7h/view
https://drive.google.com/file/d/1xBC0GmbHRGxECDyg0sSoYLxCLc5B19DJ/view</x:v>
      </x:c>
      <x:c r="F41" s="46" t="str">
        <x:v>QA-09</x:v>
      </x:c>
      <x:c r="G41" s="46" t="str">
        <x:v>Source/isolated QA only; production, sharing, credentials and commercial approvals require accountable authorization.</x:v>
      </x:c>
    </x:row>
    <x:row r="42" ht="156" customHeight="1">
      <x:c r="A42" s="46" t="str">
        <x:v>AUT11</x:v>
      </x:c>
      <x:c r="B42" s="46" t="str">
        <x:v>Connect deletion requests to actual downstream erasure/retention handling across services, devices, media and backups; expose status honestly.</x:v>
      </x:c>
      <x:c r="C42" s="46" t="str">
        <x:v>End-to-end deletion/export evidence and retention exceptions; pending_external_erasure is not shown as completed deletion.</x:v>
      </x:c>
      <x:c r="D42" s="46" t="str">
        <x:v>E18,E20,E22,E26,R08,R11,R12,R13</x:v>
      </x:c>
      <x:c r="E42" s="46" t="str">
        <x:v>https://drive.google.com/file/d/1ZMOX3aVmWujKCYV_YahrkQ5NPbFXuY7h/view
https://drive.google.com/file/d/1xBC0GmbHRGxECDyg0sSoYLxCLc5B19DJ/view</x:v>
      </x:c>
      <x:c r="F42" s="46" t="str">
        <x:v>QA-09</x:v>
      </x:c>
      <x:c r="G42" s="46" t="str">
        <x:v>Source/isolated QA only; production, sharing, credentials and commercial approvals require accountable authorization.</x:v>
      </x:c>
    </x:row>
    <x:row r="43" ht="156" customHeight="1">
      <x:c r="A43" s="46" t="str">
        <x:v>AUT12</x:v>
      </x:c>
      <x:c r="B43" s="46" t="str">
        <x:v>Test forged tenant/role fields, wrong-owner receipt IDs, private bindings, cache keys, object paths and realtime channels.</x:v>
      </x:c>
      <x:c r="C43" s="46" t="str">
        <x:v>Selected ASVS/MASVS requirement mapping and negative test evidence for two unrelated tenants on every sensitive surface.</x:v>
      </x:c>
      <x:c r="D43" s="46" t="str">
        <x:v>E18,E20,E22,E26,R08,R11,R12,R13</x:v>
      </x:c>
      <x:c r="E43" s="46" t="str">
        <x:v>https://drive.google.com/file/d/1ZMOX3aVmWujKCYV_YahrkQ5NPbFXuY7h/view
https://drive.google.com/file/d/1xBC0GmbHRGxECDyg0sSoYLxCLc5B19DJ/view</x:v>
      </x:c>
      <x:c r="F43" s="46" t="str">
        <x:v>QA-19</x:v>
      </x:c>
      <x:c r="G43" s="46" t="str">
        <x:v>Source/isolated QA only; production, sharing, credentials and commercial approvals require accountable authorization.</x:v>
      </x:c>
    </x:row>
    <x:row r="44" ht="156" customHeight="1">
      <x:c r="A44" s="46" t="str">
        <x:v>PAY01</x:v>
      </x:c>
      <x:c r="B44" s="46" t="str">
        <x:v>Implement authenticated management-gateway/provider submission with server-bound club, merchant and sender scope; keep SMS collection outside supporter apps.</x:v>
      </x:c>
      <x:c r="C44" s="46" t="str">
        <x:v>Forged text, wrong merchant, replay and wrong-club evidence fail; legitimate provider/reconciler evidence is attributable.</x:v>
      </x:c>
      <x:c r="D44" s="46" t="str">
        <x:v>E18,E19,E20,E21,E22,H01,R06,R09</x:v>
      </x:c>
      <x:c r="E44" s="46" t="str">
        <x:v>https://drive.google.com/file/d/1ZMOX3aVmWujKCYV_YahrkQ5NPbFXuY7h/view
https://drive.google.com/file/d/11c2iijJkMgVqUIhC9JivYi8vxb5prAsr/view</x:v>
      </x:c>
      <x:c r="F44" s="46" t="str">
        <x:v>QA-06,QA-21,QA-34</x:v>
      </x:c>
      <x:c r="G44" s="46" t="str">
        <x:v>Source/isolated QA only; production, sharing, credentials and commercial approvals require accountable authorization.</x:v>
      </x:c>
    </x:row>
    <x:row r="45" ht="156" customHeight="1">
      <x:c r="A45" s="46" t="str">
        <x:v>PAY02</x:v>
      </x:c>
      <x:c r="B45" s="46" t="str">
        <x:v>Import and independently reconcile previously consumed provider transaction references across every affected club and business target.</x:v>
      </x:c>
      <x:c r="C45" s="46" t="str">
        <x:v>No missing or duplicate historic claims; reviewed reconciliation includes posted ledgers, target ownership and source hashes.</x:v>
      </x:c>
      <x:c r="D45" s="46" t="str">
        <x:v>E18,E19,E20,E21,E22,H01,R06,R09</x:v>
      </x:c>
      <x:c r="E45" s="46" t="str">
        <x:v>https://drive.google.com/file/d/1ZMOX3aVmWujKCYV_YahrkQ5NPbFXuY7h/view
https://drive.google.com/file/d/11c2iijJkMgVqUIhC9JivYi8vxb5prAsr/view</x:v>
      </x:c>
      <x:c r="F45" s="46" t="str">
        <x:v>New audit requirement</x:v>
      </x:c>
      <x:c r="G45" s="46" t="str">
        <x:v>Source/isolated QA only; production, sharing, credentials and commercial approvals require accountable authorization.</x:v>
      </x:c>
    </x:row>
    <x:row r="46" ht="156" customHeight="1">
      <x:c r="A46" s="46" t="str">
        <x:v>PAY03</x:v>
      </x:c>
      <x:c r="B46" s="46" t="str">
        <x:v>Verify five-club merchant ownership, currency, country, provider and prices against authorized commercial records.</x:v>
      </x:c>
      <x:c r="C46" s="46" t="str">
        <x:v>Signed mapping/register and real sandbox/provider readback; no placeholder, guessed amount or borrowed Rayon routing.</x:v>
      </x:c>
      <x:c r="D46" s="46" t="str">
        <x:v>E18,E19,E20,E21,E22,H01,R06,R09</x:v>
      </x:c>
      <x:c r="E46" s="46" t="str">
        <x:v>https://drive.google.com/file/d/1ZMOX3aVmWujKCYV_YahrkQ5NPbFXuY7h/view
https://drive.google.com/file/d/11c2iijJkMgVqUIhC9JivYi8vxb5prAsr/view</x:v>
      </x:c>
      <x:c r="F46" s="46" t="str">
        <x:v>QA-06</x:v>
      </x:c>
      <x:c r="G46" s="46" t="str">
        <x:v>Source/isolated QA only; production, sharing, credentials and commercial approvals require accountable authorization.</x:v>
      </x:c>
    </x:row>
    <x:row r="47" ht="156" customHeight="1">
      <x:c r="A47" s="46" t="str">
        <x:v>PAY04</x:v>
      </x:c>
      <x:c r="B47" s="46" t="str">
        <x:v>Wire the installed native and web clients to approved identity/checkout contracts with exact original request-key persistence.</x:v>
      </x:c>
      <x:c r="C47" s="46" t="str">
        <x:v>Tier-to-checkout-to-read journey passes with real isolated services and all supported club mappings; no arbitrary price override.</x:v>
      </x:c>
      <x:c r="D47" s="46" t="str">
        <x:v>E18,E19,E20,E21,E22,H01,R06,R09</x:v>
      </x:c>
      <x:c r="E47" s="46" t="str">
        <x:v>https://drive.google.com/file/d/1ZMOX3aVmWujKCYV_YahrkQ5NPbFXuY7h/view
https://drive.google.com/file/d/11c2iijJkMgVqUIhC9JivYi8vxb5prAsr/view</x:v>
      </x:c>
      <x:c r="F47" s="46" t="str">
        <x:v>QA-10</x:v>
      </x:c>
      <x:c r="G47" s="46" t="str">
        <x:v>Source/isolated QA only; production, sharing, credentials and commercial approvals require accountable authorization.</x:v>
      </x:c>
    </x:row>
    <x:row r="48" ht="156" customHeight="1">
      <x:c r="A48" s="46" t="str">
        <x:v>PAY05</x:v>
      </x:c>
      <x:c r="B48" s="46" t="str">
        <x:v>Add server-authoritative discovery of unresolved checkout/handoff outcomes after uninstall, new device or complete local-state loss.</x:v>
      </x:c>
      <x:c r="C48" s="46" t="str">
        <x:v>Cross-device/reinstall tests cannot create a second payment attempt merely because the local marker disappeared.</x:v>
      </x:c>
      <x:c r="D48" s="46" t="str">
        <x:v>E18,E19,E20,E21,E22,H01,R06,R09</x:v>
      </x:c>
      <x:c r="E48" s="46" t="str">
        <x:v>https://drive.google.com/file/d/1ZMOX3aVmWujKCYV_YahrkQ5NPbFXuY7h/view
https://drive.google.com/file/d/11c2iijJkMgVqUIhC9JivYi8vxb5prAsr/view</x:v>
      </x:c>
      <x:c r="F48" s="46" t="str">
        <x:v>QA-08</x:v>
      </x:c>
      <x:c r="G48" s="46" t="str">
        <x:v>Source/isolated QA only; production, sharing, credentials and commercial approvals require accountable authorization.</x:v>
      </x:c>
    </x:row>
    <x:row r="49" ht="156" customHeight="1">
      <x:c r="A49" s="46" t="str">
        <x:v>PAY06</x:v>
      </x:c>
      <x:c r="B49" s="46" t="str">
        <x:v>Build an operator exception queue for expired/cancelled orders, mismatched amounts, uncertain handoffs and delayed receipts without deleting claims.</x:v>
      </x:c>
      <x:c r="C49" s="46" t="str">
        <x:v>Approved maker/checker resolution scenarios preserve source evidence and block double fulfillment.</x:v>
      </x:c>
      <x:c r="D49" s="46" t="str">
        <x:v>E18,E19,E20,E21,E22,H01,R06,R09</x:v>
      </x:c>
      <x:c r="E49" s="46" t="str">
        <x:v>https://drive.google.com/file/d/1ZMOX3aVmWujKCYV_YahrkQ5NPbFXuY7h/view
https://drive.google.com/file/d/11c2iijJkMgVqUIhC9JivYi8vxb5prAsr/view</x:v>
      </x:c>
      <x:c r="F49" s="46" t="str">
        <x:v>QA-06</x:v>
      </x:c>
      <x:c r="G49" s="46" t="str">
        <x:v>Source/isolated QA only; production, sharing, credentials and commercial approvals require accountable authorization.</x:v>
      </x:c>
    </x:row>
    <x:row r="50" ht="156" customHeight="1">
      <x:c r="A50" s="46" t="str">
        <x:v>PAY07</x:v>
      </x:c>
      <x:c r="B50" s="46" t="str">
        <x:v>Define compensating financial entries and provider refund confirmation; distinguish cancellation, refund requested and money returned.</x:v>
      </x:c>
      <x:c r="C50" s="46" t="str">
        <x:v>Partial/full/repeated/out-of-order refund tests; retained original claim/receipt and reconciled net business outcome.</x:v>
      </x:c>
      <x:c r="D50" s="46" t="str">
        <x:v>E18,E19,E20,E21,E22,H01,R06,R09</x:v>
      </x:c>
      <x:c r="E50" s="46" t="str">
        <x:v>https://drive.google.com/file/d/1ZMOX3aVmWujKCYV_YahrkQ5NPbFXuY7h/view
https://drive.google.com/file/d/11c2iijJkMgVqUIhC9JivYi8vxb5prAsr/view</x:v>
      </x:c>
      <x:c r="F50" s="46" t="str">
        <x:v>QA-13,QA-14</x:v>
      </x:c>
      <x:c r="G50" s="46" t="str">
        <x:v>Source/isolated QA only; production, sharing, credentials and commercial approvals require accountable authorization.</x:v>
      </x:c>
    </x:row>
    <x:row r="51" ht="156" customHeight="1">
      <x:c r="A51" s="46" t="str">
        <x:v>PAY08</x:v>
      </x:c>
      <x:c r="B51" s="46" t="str">
        <x:v>Prevent simultaneous legacy and candidate allocations, and test old-client requests against the transition boundary.</x:v>
      </x:c>
      <x:c r="C51" s="46" t="str">
        <x:v>A payment reference cannot be consumed on both systems; explicit write fence and reconciliation evidence.</x:v>
      </x:c>
      <x:c r="D51" s="46" t="str">
        <x:v>E18,E19,E20,E21,E22,H01,R06,R09</x:v>
      </x:c>
      <x:c r="E51" s="46" t="str">
        <x:v>https://drive.google.com/file/d/1ZMOX3aVmWujKCYV_YahrkQ5NPbFXuY7h/view
https://drive.google.com/file/d/11c2iijJkMgVqUIhC9JivYi8vxb5prAsr/view</x:v>
      </x:c>
      <x:c r="F51" s="46" t="str">
        <x:v>QA-07</x:v>
      </x:c>
      <x:c r="G51" s="46" t="str">
        <x:v>Source/isolated QA only; production, sharing, credentials and commercial approvals require accountable authorization.</x:v>
      </x:c>
    </x:row>
    <x:row r="52" ht="156" customHeight="1">
      <x:c r="A52" s="46" t="str">
        <x:v>PAY09</x:v>
      </x:c>
      <x:c r="B52" s="46" t="str">
        <x:v>Deliver outbox effects through idempotent consumers with retry, poison-event quarantine and accountable replay.</x:v>
      </x:c>
      <x:c r="C52" s="46" t="str">
        <x:v>Crash after effect/before acknowledgement does not duplicate membership cards, notifications or rewards.</x:v>
      </x:c>
      <x:c r="D52" s="46" t="str">
        <x:v>E18,E19,E20,E21,E22,H01,R06,R09</x:v>
      </x:c>
      <x:c r="E52" s="46" t="str">
        <x:v>https://drive.google.com/file/d/1ZMOX3aVmWujKCYV_YahrkQ5NPbFXuY7h/view
https://drive.google.com/file/d/11c2iijJkMgVqUIhC9JivYi8vxb5prAsr/view</x:v>
      </x:c>
      <x:c r="F52" s="46" t="str">
        <x:v>QA-08</x:v>
      </x:c>
      <x:c r="G52" s="46" t="str">
        <x:v>Source/isolated QA only; production, sharing, credentials and commercial approvals require accountable authorization.</x:v>
      </x:c>
    </x:row>
    <x:row r="53" ht="156" customHeight="1">
      <x:c r="A53" s="46" t="str">
        <x:v>PAY10</x:v>
      </x:c>
      <x:c r="B53" s="46" t="str">
        <x:v>Exercise source checkout, authentic evidence, exact allocation, renewal, receipts and current entitlement through integrated clients.</x:v>
      </x:c>
      <x:c r="C53" s="46" t="str">
        <x:v>Actual target D1/runtime and authorized provider tests; last-slot/duplicate/request-loss cases preserve invariants.</x:v>
      </x:c>
      <x:c r="D53" s="46" t="str">
        <x:v>E18,E19,E20,E21,E22,H01,R06,R09</x:v>
      </x:c>
      <x:c r="E53" s="46" t="str">
        <x:v>https://drive.google.com/file/d/1ZMOX3aVmWujKCYV_YahrkQ5NPbFXuY7h/view
https://drive.google.com/file/d/11c2iijJkMgVqUIhC9JivYi8vxb5prAsr/view</x:v>
      </x:c>
      <x:c r="F53" s="46" t="str">
        <x:v>QA-05,QA-07,QA-19,QA-34</x:v>
      </x:c>
      <x:c r="G53" s="46" t="str">
        <x:v>Source/isolated QA only; production, sharing, credentials and commercial approvals require accountable authorization.</x:v>
      </x:c>
    </x:row>
    <x:row r="54" ht="156" customHeight="1">
      <x:c r="A54" s="46" t="str">
        <x:v>PAY11</x:v>
      </x:c>
      <x:c r="B54" s="46" t="str">
        <x:v>Produce daily control totals connecting provider statement, evidence, allocation ledger, target fulfillment, refund and exceptions.</x:v>
      </x:c>
      <x:c r="C54" s="46" t="str">
        <x:v>Explained zero-difference reconciliation for test periods with known exceptions and independent finance review.</x:v>
      </x:c>
      <x:c r="D54" s="46" t="str">
        <x:v>E18,E19,E20,E21,E22,H01,R06,R09</x:v>
      </x:c>
      <x:c r="E54" s="46" t="str">
        <x:v>https://drive.google.com/file/d/1ZMOX3aVmWujKCYV_YahrkQ5NPbFXuY7h/view
https://drive.google.com/file/d/11c2iijJkMgVqUIhC9JivYi8vxb5prAsr/view</x:v>
      </x:c>
      <x:c r="F54" s="46" t="str">
        <x:v>New audit requirement</x:v>
      </x:c>
      <x:c r="G54" s="46" t="str">
        <x:v>Source/isolated QA only; production, sharing, credentials and commercial approvals require accountable authorization.</x:v>
      </x:c>
    </x:row>
    <x:row r="55" ht="156" customHeight="1">
      <x:c r="A55" s="46" t="str">
        <x:v>PAY12</x:v>
      </x:c>
      <x:c r="B55" s="46" t="str">
        <x:v>Keep allocated debit evidence separate from cash wallet, accounting general ledger and current entitlement; label historic receipts correctly.</x:v>
      </x:c>
      <x:c r="C55" s="46" t="str">
        <x:v>API/UI copy and reports reflect actual state; no misleading balance, settlement or activation statement.</x:v>
      </x:c>
      <x:c r="D55" s="46" t="str">
        <x:v>E18,E19,E20,E21,E22,H01,R06,R09</x:v>
      </x:c>
      <x:c r="E55" s="46" t="str">
        <x:v>https://drive.google.com/file/d/1ZMOX3aVmWujKCYV_YahrkQ5NPbFXuY7h/view
https://drive.google.com/file/d/11c2iijJkMgVqUIhC9JivYi8vxb5prAsr/view</x:v>
      </x:c>
      <x:c r="F55" s="46" t="str">
        <x:v>New audit requirement</x:v>
      </x:c>
      <x:c r="G55" s="46" t="str">
        <x:v>Source/isolated QA only; production, sharing, credentials and commercial approvals require accountable authorization.</x:v>
      </x:c>
    </x:row>
    <x:row r="56" ht="156" customHeight="1">
      <x:c r="A56" s="46" t="str">
        <x:v>DOM01</x:v>
      </x:c>
      <x:c r="B56" s="46" t="str">
        <x:v>Connect current entitlement, card identity, renewals, suspension, statements and supporter-group access beyond the isolated allocation core.</x:v>
      </x:c>
      <x:c r="C56" s="46" t="str">
        <x:v>End-to-end membership state matrix with preserved IDs/points and no access inferred solely from a historic receipt.</x:v>
      </x:c>
      <x:c r="D56" s="46" t="str">
        <x:v>E03,E19,E23,H01,H02</x:v>
      </x:c>
      <x:c r="E56" s="46" t="str">
        <x:v>https://drive.google.com/file/d/1W-wB0714GR2PtTb01XldFYbQcFhL_1AC/view
https://drive.google.com/file/d/11c2iijJkMgVqUIhC9JivYi8vxb5prAsr/view</x:v>
      </x:c>
      <x:c r="F56" s="46" t="str">
        <x:v>QA-07,QA-10</x:v>
      </x:c>
      <x:c r="G56" s="46" t="str">
        <x:v>Source/isolated QA only; production, sharing, credentials and commercial approvals require accountable authorization.</x:v>
      </x:c>
    </x:row>
    <x:row r="57" ht="156" customHeight="1">
      <x:c r="A57" s="46" t="str">
        <x:v>DOM02</x:v>
      </x:c>
      <x:c r="B57" s="46" t="str">
        <x:v>Port contribution confirmation, campaign totals, points and referral effects as one approved business transaction.</x:v>
      </x:c>
      <x:c r="C57" s="46" t="str">
        <x:v>Failed or repeated confirmation cannot partially update totals/rewards; businessTargetFulfilled changes only after full completion.</x:v>
      </x:c>
      <x:c r="D57" s="46" t="str">
        <x:v>E03,E19,E23,H01,H02</x:v>
      </x:c>
      <x:c r="E57" s="46" t="str">
        <x:v>https://drive.google.com/file/d/1W-wB0714GR2PtTb01XldFYbQcFhL_1AC/view
https://drive.google.com/file/d/11c2iijJkMgVqUIhC9JivYi8vxb5prAsr/view</x:v>
      </x:c>
      <x:c r="F57" s="46" t="str">
        <x:v>QA-07</x:v>
      </x:c>
      <x:c r="G57" s="46" t="str">
        <x:v>Source/isolated QA only; production, sharing, credentials and commercial approvals require accountable authorization.</x:v>
      </x:c>
    </x:row>
    <x:row r="58" ht="156" customHeight="1">
      <x:c r="A58" s="46" t="str">
        <x:v>DOM03</x:v>
      </x:c>
      <x:c r="B58" s="46" t="str">
        <x:v>Reconcile group rosters, contribution ownership, member visibility, targets and group-specific receiver rules.</x:v>
      </x:c>
      <x:c r="C58" s="46" t="str">
        <x:v>Authorized group-member/staff journeys, totals and negative cross-group cases pass.</x:v>
      </x:c>
      <x:c r="D58" s="46" t="str">
        <x:v>E03,E19,E23,H01,H02</x:v>
      </x:c>
      <x:c r="E58" s="46" t="str">
        <x:v>https://drive.google.com/file/d/1W-wB0714GR2PtTb01XldFYbQcFhL_1AC/view
https://drive.google.com/file/d/11c2iijJkMgVqUIhC9JivYi8vxb5prAsr/view</x:v>
      </x:c>
      <x:c r="F58" s="46" t="str">
        <x:v>QA-07</x:v>
      </x:c>
      <x:c r="G58" s="46" t="str">
        <x:v>Source/isolated QA only; production, sharing, credentials and commercial approvals require accountable authorization.</x:v>
      </x:c>
    </x:row>
    <x:row r="59" ht="156" customHeight="1">
      <x:c r="A59" s="46" t="str">
        <x:v>DOM04</x:v>
      </x:c>
      <x:c r="B59" s="46" t="str">
        <x:v>Implement capacity reservations, authoritative prices, issue/expiry/cancel states and ticket ownership with concurrency controls.</x:v>
      </x:c>
      <x:c r="C59" s="46" t="str">
        <x:v>Last-seat races produce no oversell; paid evidence cannot issue twice; recovery preserves reservation and issuance facts.</x:v>
      </x:c>
      <x:c r="D59" s="46" t="str">
        <x:v>E03,E19,E23,H01,H02</x:v>
      </x:c>
      <x:c r="E59" s="46" t="str">
        <x:v>https://drive.google.com/file/d/1W-wB0714GR2PtTb01XldFYbQcFhL_1AC/view
https://drive.google.com/file/d/11c2iijJkMgVqUIhC9JivYi8vxb5prAsr/view</x:v>
      </x:c>
      <x:c r="F59" s="46" t="str">
        <x:v>QA-07,QA-13</x:v>
      </x:c>
      <x:c r="G59" s="46" t="str">
        <x:v>Source/isolated QA only; production, sharing, credentials and commercial approvals require accountable authorization.</x:v>
      </x:c>
    </x:row>
    <x:row r="60" ht="156" customHeight="1">
      <x:c r="A60" s="46" t="str">
        <x:v>DOM05</x:v>
      </x:c>
      <x:c r="B60" s="46" t="str">
        <x:v>Implement event/club-scoped scanner roles, replay-resistant single redemption, manual exceptions and offline policy.</x:v>
      </x:c>
      <x:c r="C60" s="46" t="str">
        <x:v>Duplicate QR, revoked ticket, wrong-event and disconnected scanner tests; reconciliation prevents multi-gate reuse.</x:v>
      </x:c>
      <x:c r="D60" s="46" t="str">
        <x:v>E03,E19,E23,H01,H02</x:v>
      </x:c>
      <x:c r="E60" s="46" t="str">
        <x:v>https://drive.google.com/file/d/1W-wB0714GR2PtTb01XldFYbQcFhL_1AC/view
https://drive.google.com/file/d/11c2iijJkMgVqUIhC9JivYi8vxb5prAsr/view</x:v>
      </x:c>
      <x:c r="F60" s="46" t="str">
        <x:v>QA-13</x:v>
      </x:c>
      <x:c r="G60" s="46" t="str">
        <x:v>Source/isolated QA only; production, sharing, credentials and commercial approvals require accountable authorization.</x:v>
      </x:c>
    </x:row>
    <x:row r="61" ht="156" customHeight="1">
      <x:c r="A61" s="46" t="str">
        <x:v>DOM06</x:v>
      </x:c>
      <x:c r="B61" s="46" t="str">
        <x:v>Approve issuer accounts and provider contracts; implement pass creation/update/revoke, job retries and installation checks where offered.</x:v>
      </x:c>
      <x:c r="C61" s="46" t="str">
        <x:v>Authorized Apple/Google Wallet acceptance for supported platforms; no pass success inferred from queued work.</x:v>
      </x:c>
      <x:c r="D61" s="46" t="str">
        <x:v>E03,E19,E23,H01,H02</x:v>
      </x:c>
      <x:c r="E61" s="46" t="str">
        <x:v>https://drive.google.com/file/d/1W-wB0714GR2PtTb01XldFYbQcFhL_1AC/view
https://drive.google.com/file/d/11c2iijJkMgVqUIhC9JivYi8vxb5prAsr/view</x:v>
      </x:c>
      <x:c r="F61" s="46" t="str">
        <x:v>QA-13,QA-21,QA-34</x:v>
      </x:c>
      <x:c r="G61" s="46" t="str">
        <x:v>Source/isolated QA only; production, sharing, credentials and commercial approvals require accountable authorization.</x:v>
      </x:c>
    </x:row>
    <x:row r="62" ht="156" customHeight="1">
      <x:c r="A62" s="46" t="str">
        <x:v>DOM07</x:v>
      </x:c>
      <x:c r="B62" s="46" t="str">
        <x:v>Implement stock/variant authority, cart repricing, reservation, payment, fulfillment, cancellation and refund state transitions.</x:v>
      </x:c>
      <x:c r="C62" s="46" t="str">
        <x:v>Last-item and stale-price tests plus actual isolated client journeys; no oversell or unconfirmed fulfillment.</x:v>
      </x:c>
      <x:c r="D62" s="46" t="str">
        <x:v>E03,E19,E23,H01,H02</x:v>
      </x:c>
      <x:c r="E62" s="46" t="str">
        <x:v>https://drive.google.com/file/d/1W-wB0714GR2PtTb01XldFYbQcFhL_1AC/view
https://drive.google.com/file/d/11c2iijJkMgVqUIhC9JivYi8vxb5prAsr/view</x:v>
      </x:c>
      <x:c r="F62" s="46" t="str">
        <x:v>QA-07,QA-14</x:v>
      </x:c>
      <x:c r="G62" s="46" t="str">
        <x:v>Source/isolated QA only; production, sharing, credentials and commercial approvals require accountable authorization.</x:v>
      </x:c>
    </x:row>
    <x:row r="63" ht="156" customHeight="1">
      <x:c r="A63" s="46" t="str">
        <x:v>DOM08</x:v>
      </x:c>
      <x:c r="B63" s="46" t="str">
        <x:v>Adopt the approved free-entry contract or obtain an explicit versioned alternative; align clients, ledger, policy and test expectations.</x:v>
      </x:c>
      <x:c r="C63" s="46" t="str">
        <x:v>No runtime flag silently enables a debit-based mechanic; signed product/legal decision precedes activation.</x:v>
      </x:c>
      <x:c r="D63" s="46" t="str">
        <x:v>E03,E19,E23,H01,H02</x:v>
      </x:c>
      <x:c r="E63" s="46" t="str">
        <x:v>https://drive.google.com/file/d/1W-wB0714GR2PtTb01XldFYbQcFhL_1AC/view
https://drive.google.com/file/d/11c2iijJkMgVqUIhC9JivYi8vxb5prAsr/view</x:v>
      </x:c>
      <x:c r="F63" s="46" t="str">
        <x:v>QA-12</x:v>
      </x:c>
      <x:c r="G63" s="46" t="str">
        <x:v>Source/isolated QA only; production, sharing, credentials and commercial approvals require accountable authorization.</x:v>
      </x:c>
    </x:row>
    <x:row r="64" ht="156" customHeight="1">
      <x:c r="A64" s="46" t="str">
        <x:v>DOM09</x:v>
      </x:c>
      <x:c r="B64" s="46" t="str">
        <x:v>Implement authoritative results, eligibility, duplicate entry, cutoff, corrections, void/no-winner and replay-safe settlement.</x:v>
      </x:c>
      <x:c r="C64" s="46" t="str">
        <x:v>Corrected/duplicate/out-of-order results yield the approved ledger result; isolated and target runtime regressions pass.</x:v>
      </x:c>
      <x:c r="D64" s="46" t="str">
        <x:v>E03,E19,E23,H01,H02</x:v>
      </x:c>
      <x:c r="E64" s="46" t="str">
        <x:v>https://drive.google.com/file/d/1W-wB0714GR2PtTb01XldFYbQcFhL_1AC/view
https://drive.google.com/file/d/11c2iijJkMgVqUIhC9JivYi8vxb5prAsr/view</x:v>
      </x:c>
      <x:c r="F64" s="46" t="str">
        <x:v>QA-12</x:v>
      </x:c>
      <x:c r="G64" s="46" t="str">
        <x:v>Source/isolated QA only; production, sharing, credentials and commercial approvals require accountable authorization.</x:v>
      </x:c>
    </x:row>
    <x:row r="65" ht="156" customHeight="1">
      <x:c r="A65" s="46" t="str">
        <x:v>DOM10</x:v>
      </x:c>
      <x:c r="B65" s="46" t="str">
        <x:v>Version domain events, visibility, deduplication keys and retention; inventory all outbox consumers and compensation obligations.</x:v>
      </x:c>
      <x:c r="C65" s="46" t="str">
        <x:v>No orphan consumer or undocumented effect; compatibility and poison-event cases tested.</x:v>
      </x:c>
      <x:c r="D65" s="46" t="str">
        <x:v>E03,E19,E23,H01,H02</x:v>
      </x:c>
      <x:c r="E65" s="46" t="str">
        <x:v>https://drive.google.com/file/d/1W-wB0714GR2PtTb01XldFYbQcFhL_1AC/view
https://drive.google.com/file/d/11c2iijJkMgVqUIhC9JivYi8vxb5prAsr/view</x:v>
      </x:c>
      <x:c r="F65" s="46" t="str">
        <x:v>New audit requirement</x:v>
      </x:c>
      <x:c r="G65" s="46" t="str">
        <x:v>Source/isolated QA only; production, sharing, credentials and commercial approvals require accountable authorization.</x:v>
      </x:c>
    </x:row>
    <x:row r="66" ht="156" customHeight="1">
      <x:c r="A66" s="46" t="str">
        <x:v>DOM11</x:v>
      </x:c>
      <x:c r="B66" s="46" t="str">
        <x:v>Cover history, squads, fixtures, results, standings, search and approved media without reviving retired venue/exact-score products.</x:v>
      </x:c>
      <x:c r="C66" s="46" t="str">
        <x:v>Per-club content owner acceptance plus valid/empty/stale/unpublished states and source provenance.</x:v>
      </x:c>
      <x:c r="D66" s="46" t="str">
        <x:v>E03,E19,E23,H01,H02</x:v>
      </x:c>
      <x:c r="E66" s="46" t="str">
        <x:v>https://drive.google.com/file/d/1W-wB0714GR2PtTb01XldFYbQcFhL_1AC/view
https://drive.google.com/file/d/11c2iijJkMgVqUIhC9JivYi8vxb5prAsr/view</x:v>
      </x:c>
      <x:c r="F66" s="46" t="str">
        <x:v>QA-16</x:v>
      </x:c>
      <x:c r="G66" s="46" t="str">
        <x:v>Source/isolated QA only; production, sharing, credentials and commercial approvals require accountable authorization.</x:v>
      </x:c>
    </x:row>
    <x:row r="67" ht="156" customHeight="1">
      <x:c r="A67" s="46" t="str">
        <x:v>DOM12</x:v>
      </x:c>
      <x:c r="B67" s="46" t="str">
        <x:v>Trace old callers, routes, tables and jobs; preserve required football modules and retained historical records.</x:v>
      </x:c>
      <x:c r="C67" s="46" t="str">
        <x:v>No active caller relies on a retired object; all removals have source disposition, backup and approved retention.</x:v>
      </x:c>
      <x:c r="D67" s="46" t="str">
        <x:v>E03,E19,E23,H01,H02</x:v>
      </x:c>
      <x:c r="E67" s="46" t="str">
        <x:v>https://drive.google.com/file/d/1W-wB0714GR2PtTb01XldFYbQcFhL_1AC/view
https://drive.google.com/file/d/11c2iijJkMgVqUIhC9JivYi8vxb5prAsr/view</x:v>
      </x:c>
      <x:c r="F67" s="46" t="str">
        <x:v>New audit requirement</x:v>
      </x:c>
      <x:c r="G67" s="46" t="str">
        <x:v>Source/isolated QA only; production, sharing, credentials and commercial approvals require accountable authorization.</x:v>
      </x:c>
    </x:row>
    <x:row r="68" ht="156" customHeight="1">
      <x:c r="A68" s="46" t="str">
        <x:v>DAT01</x:v>
      </x:c>
      <x:c r="B68" s="46" t="str">
        <x:v>Read an authorized current snapshot of schema, identities, functions, policies, triggers, grants, media and schedules; do not reuse Sep25 counts as live.</x:v>
      </x:c>
      <x:c r="C68" s="46" t="str">
        <x:v>Timestamped complete inventory, source revision and extraction controls; no unexplained partial listing.</x:v>
      </x:c>
      <x:c r="D68" s="46" t="str">
        <x:v>H01,H02,H04,E27,R05,R06,R07,R10</x:v>
      </x:c>
      <x:c r="E68" s="46" t="str">
        <x:v>https://drive.google.com/file/d/1-7B4JcFcWG3OrLUhBamPvNLURFKqU5Kl/view
https://drive.google.com/file/d/1qvzgD7D9aBc4NVM3ycZQF-l4sDPBjttu/view</x:v>
      </x:c>
      <x:c r="F68" s="46" t="str">
        <x:v>QA-37</x:v>
      </x:c>
      <x:c r="G68" s="46" t="str">
        <x:v>Source/isolated QA only; production, sharing, credentials and commercial approvals require accountable authorization.</x:v>
      </x:c>
    </x:row>
    <x:row r="69" ht="156" customHeight="1">
      <x:c r="A69" s="46" t="str">
        <x:v>DAT02</x:v>
      </x:c>
      <x:c r="B69" s="46" t="str">
        <x:v>Capture a transactionally consistent base and bounded change stream/freeze procedure including identity and money state.</x:v>
      </x:c>
      <x:c r="C69" s="46" t="str">
        <x:v>Restore and row/constraint/hash reconciliation on one consistent checkpoint; segmented export limitations resolved.</x:v>
      </x:c>
      <x:c r="D69" s="46" t="str">
        <x:v>H01,H02,H04,E27,R05,R06,R07,R10</x:v>
      </x:c>
      <x:c r="E69" s="46" t="str">
        <x:v>https://drive.google.com/file/d/1-7B4JcFcWG3OrLUhBamPvNLURFKqU5Kl/view
https://drive.google.com/file/d/1qvzgD7D9aBc4NVM3ycZQF-l4sDPBjttu/view</x:v>
      </x:c>
      <x:c r="F69" s="46" t="str">
        <x:v>QA-37</x:v>
      </x:c>
      <x:c r="G69" s="46" t="str">
        <x:v>Source/isolated QA only; production, sharing, credentials and commercial approvals require accountable authorization.</x:v>
      </x:c>
    </x:row>
    <x:row r="70" ht="156" customHeight="1">
      <x:c r="A70" s="46" t="str">
        <x:v>DAT03</x:v>
      </x:c>
      <x:c r="B70" s="46" t="str">
        <x:v>Replace the seven aggregate rows with an exhaustive map: migrate, replace, retain, archive, retire or unresolved, with caller and test links.</x:v>
      </x:c>
      <x:c r="C70" s="46" t="str">
        <x:v>Every inventoried object has an accountable disposition; unresolved means blocked, never safe to delete.</x:v>
      </x:c>
      <x:c r="D70" s="46" t="str">
        <x:v>H01,H02,H04,E27,R05,R06,R07,R10</x:v>
      </x:c>
      <x:c r="E70" s="46" t="str">
        <x:v>https://drive.google.com/file/d/1-7B4JcFcWG3OrLUhBamPvNLURFKqU5Kl/view
https://drive.google.com/file/d/1qvzgD7D9aBc4NVM3ycZQF-l4sDPBjttu/view</x:v>
      </x:c>
      <x:c r="F70" s="46" t="str">
        <x:v>QA-02,QA-37</x:v>
      </x:c>
      <x:c r="G70" s="46" t="str">
        <x:v>Source/isolated QA only; production, sharing, credentials and commercial approvals require accountable authorization.</x:v>
      </x:c>
    </x:row>
    <x:row r="71" ht="156" customHeight="1">
      <x:c r="A71" s="46" t="str">
        <x:v>DAT04</x:v>
      </x:c>
      <x:c r="B71" s="46" t="str">
        <x:v>Reconcile 18 local versus 18 deployed entrypoints by actual names and behavior; retain live-only bodies and decide local-only Wallet scope.</x:v>
      </x:c>
      <x:c r="C71" s="46" t="str">
        <x:v>Versioned caller/behavior matrix and replacement evidence; bundling hash changes not mistaken for logic equivalence.</x:v>
      </x:c>
      <x:c r="D71" s="46" t="str">
        <x:v>H01,H02,H04,E27,R05,R06,R07,R10</x:v>
      </x:c>
      <x:c r="E71" s="46" t="str">
        <x:v>https://drive.google.com/file/d/1-7B4JcFcWG3OrLUhBamPvNLURFKqU5Kl/view
https://drive.google.com/file/d/1qvzgD7D9aBc4NVM3ycZQF-l4sDPBjttu/view</x:v>
      </x:c>
      <x:c r="F71" s="46" t="str">
        <x:v>QA-37</x:v>
      </x:c>
      <x:c r="G71" s="46" t="str">
        <x:v>Source/isolated QA only; production, sharing, credentials and commercial approvals require accountable authorization.</x:v>
      </x:c>
    </x:row>
    <x:row r="72" ht="156" customHeight="1">
      <x:c r="A72" s="46" t="str">
        <x:v>DAT05</x:v>
      </x:c>
      <x:c r="B72" s="46" t="str">
        <x:v>Map every active scheduled task to target ownership, overlap prevention, timezone, retry and safe manual recovery.</x:v>
      </x:c>
      <x:c r="C72" s="46" t="str">
        <x:v>All six dated jobs refreshed and individually dispositioned; target tests include skipped/late/duplicate schedules.</x:v>
      </x:c>
      <x:c r="D72" s="46" t="str">
        <x:v>H01,H02,H04,E27,R05,R06,R07,R10</x:v>
      </x:c>
      <x:c r="E72" s="46" t="str">
        <x:v>https://drive.google.com/file/d/1-7B4JcFcWG3OrLUhBamPvNLURFKqU5Kl/view
https://drive.google.com/file/d/1qvzgD7D9aBc4NVM3ycZQF-l4sDPBjttu/view</x:v>
      </x:c>
      <x:c r="F72" s="46" t="str">
        <x:v>QA-20</x:v>
      </x:c>
      <x:c r="G72" s="46" t="str">
        <x:v>Source/isolated QA only; production, sharing, credentials and commercial approvals require accountable authorization.</x:v>
      </x:c>
    </x:row>
    <x:row r="73" ht="156" customHeight="1">
      <x:c r="A73" s="46" t="str">
        <x:v>DAT06</x:v>
      </x:c>
      <x:c r="B73" s="46" t="str">
        <x:v>Map PostgreSQL RLS, grants, security-definer/invoker functions and triggers to explicit target authorization/invariants.</x:v>
      </x:c>
      <x:c r="C73" s="46" t="str">
        <x:v>Equivalent positive/negative contract suite with privilege and tenant cases; old pgTAP intent retained.</x:v>
      </x:c>
      <x:c r="D73" s="46" t="str">
        <x:v>H01,H02,H04,E27,R05,R06,R07,R10</x:v>
      </x:c>
      <x:c r="E73" s="46" t="str">
        <x:v>https://drive.google.com/file/d/1-7B4JcFcWG3OrLUhBamPvNLURFKqU5Kl/view
https://drive.google.com/file/d/1qvzgD7D9aBc4NVM3ycZQF-l4sDPBjttu/view</x:v>
      </x:c>
      <x:c r="F73" s="46" t="str">
        <x:v>QA-05</x:v>
      </x:c>
      <x:c r="G73" s="46" t="str">
        <x:v>Source/isolated QA only; production, sharing, credentials and commercial approvals require accountable authorization.</x:v>
      </x:c>
    </x:row>
    <x:row r="74" ht="156" customHeight="1">
      <x:c r="A74" s="46" t="str">
        <x:v>DAT07</x:v>
      </x:c>
      <x:c r="B74" s="46" t="str">
        <x:v>Run actual D1 schema/trigger/date/JSON/batch tests and representative load; measure size, query time, parameters and growth.</x:v>
      </x:c>
      <x:c r="C74" s="46" t="str">
        <x:v>Measured capacity margins and documented global claim strategy; no unsupported production environment toggle.</x:v>
      </x:c>
      <x:c r="D74" s="46" t="str">
        <x:v>H01,H02,H04,E27,R05,R06,R07,R10</x:v>
      </x:c>
      <x:c r="E74" s="46" t="str">
        <x:v>https://drive.google.com/file/d/1-7B4JcFcWG3OrLUhBamPvNLURFKqU5Kl/view
https://drive.google.com/file/d/1qvzgD7D9aBc4NVM3ycZQF-l4sDPBjttu/view</x:v>
      </x:c>
      <x:c r="F74" s="46" t="str">
        <x:v>QA-37</x:v>
      </x:c>
      <x:c r="G74" s="46" t="str">
        <x:v>Source/isolated QA only; production, sharing, credentials and commercial approvals require accountable authorization.</x:v>
      </x:c>
    </x:row>
    <x:row r="75" ht="156" customHeight="1">
      <x:c r="A75" s="46" t="str">
        <x:v>DAT08</x:v>
      </x:c>
      <x:c r="B75" s="46" t="str">
        <x:v>Resolve the eight documented missing AFRICLUB originals or approve a lawful explicit loss disposition; independently verify every required object.</x:v>
      </x:c>
      <x:c r="C75" s="46" t="str">
        <x:v>Complete original-byte, rights, hash and destination manifest; public 11-object replay not substituted for unrelated missing media.</x:v>
      </x:c>
      <x:c r="D75" s="46" t="str">
        <x:v>H01,H02,H04,E27,R05,R06,R07,R10</x:v>
      </x:c>
      <x:c r="E75" s="46" t="str">
        <x:v>https://drive.google.com/file/d/1-7B4JcFcWG3OrLUhBamPvNLURFKqU5Kl/view
https://drive.google.com/file/d/1qvzgD7D9aBc4NVM3ycZQF-l4sDPBjttu/view</x:v>
      </x:c>
      <x:c r="F75" s="46" t="str">
        <x:v>QA-37</x:v>
      </x:c>
      <x:c r="G75" s="46" t="str">
        <x:v>Source/isolated QA only; production, sharing, credentials and commercial approvals require accountable authorization.</x:v>
      </x:c>
    </x:row>
    <x:row r="76" ht="156" customHeight="1">
      <x:c r="A76" s="46" t="str">
        <x:v>DAT09</x:v>
      </x:c>
      <x:c r="B76" s="46" t="str">
        <x:v>Protect database exports, object bytes, schema/configuration, keys and event checkpoints in an access-controlled recovery process.</x:v>
      </x:c>
      <x:c r="C76" s="46" t="str">
        <x:v>Measured restore time/data loss against approved RTO/RPO; actual restore opens and validates critical journeys.</x:v>
      </x:c>
      <x:c r="D76" s="46" t="str">
        <x:v>H01,H02,H04,E27,R05,R06,R07,R10</x:v>
      </x:c>
      <x:c r="E76" s="46" t="str">
        <x:v>https://drive.google.com/file/d/1-7B4JcFcWG3OrLUhBamPvNLURFKqU5Kl/view
https://drive.google.com/file/d/1qvzgD7D9aBc4NVM3ycZQF-l4sDPBjttu/view</x:v>
      </x:c>
      <x:c r="F76" s="46" t="str">
        <x:v>QA-29,QA-37</x:v>
      </x:c>
      <x:c r="G76" s="46" t="str">
        <x:v>Source/isolated QA only; production, sharing, credentials and commercial approvals require accountable authorization.</x:v>
      </x:c>
    </x:row>
    <x:row r="77" ht="156" customHeight="1">
      <x:c r="A77" s="46" t="str">
        <x:v>DAT10</x:v>
      </x:c>
      <x:c r="B77" s="46" t="str">
        <x:v>Preserve original IDs, intent links, tenant slugs and provider references; define currencies, whole/minor-unit rules and UTC/calendar semantics.</x:v>
      </x:c>
      <x:c r="C77" s="46" t="str">
        <x:v>Row-level reconciliation and leap-day/timezone tests; no silent decimal/currency conversion or regenerated ownership IDs.</x:v>
      </x:c>
      <x:c r="D77" s="46" t="str">
        <x:v>H01,H02,H04,E27,R05,R06,R07,R10</x:v>
      </x:c>
      <x:c r="E77" s="46" t="str">
        <x:v>https://drive.google.com/file/d/1-7B4JcFcWG3OrLUhBamPvNLURFKqU5Kl/view
https://drive.google.com/file/d/1qvzgD7D9aBc4NVM3ycZQF-l4sDPBjttu/view</x:v>
      </x:c>
      <x:c r="F77" s="46" t="str">
        <x:v>QA-37</x:v>
      </x:c>
      <x:c r="G77" s="46" t="str">
        <x:v>Source/isolated QA only; production, sharing, credentials and commercial approvals require accountable authorization.</x:v>
      </x:c>
    </x:row>
    <x:row r="78" ht="156" customHeight="1">
      <x:c r="A78" s="46" t="str">
        <x:v>DAT11</x:v>
      </x:c>
      <x:c r="B78" s="46" t="str">
        <x:v>Separate immutable business evidence from deletable personal attributes; define retention, legal holds and deletion tombstone propagation.</x:v>
      </x:c>
      <x:c r="C78" s="46" t="str">
        <x:v>Approved retention matrix and selective erasure tests preserve required reconciliation without claiming indefinite storage approval.</x:v>
      </x:c>
      <x:c r="D78" s="46" t="str">
        <x:v>H01,H02,H04,E27,R05,R06,R07,R10</x:v>
      </x:c>
      <x:c r="E78" s="46" t="str">
        <x:v>https://drive.google.com/file/d/1-7B4JcFcWG3OrLUhBamPvNLURFKqU5Kl/view
https://drive.google.com/file/d/1qvzgD7D9aBc4NVM3ycZQF-l4sDPBjttu/view</x:v>
      </x:c>
      <x:c r="F78" s="46" t="str">
        <x:v>QA-37</x:v>
      </x:c>
      <x:c r="G78" s="46" t="str">
        <x:v>Source/isolated QA only; production, sharing, credentials and commercial approvals require accountable authorization.</x:v>
      </x:c>
    </x:row>
    <x:row r="79" ht="156" customHeight="1">
      <x:c r="A79" s="46" t="str">
        <x:v>DAT12</x:v>
      </x:c>
      <x:c r="B79" s="46" t="str">
        <x:v>Define point of no return, compatibility floor and forward compensation; test accepted writes during failure and recovery.</x:v>
      </x:c>
      <x:c r="C79" s="46" t="str">
        <x:v>Recovery reconciles every accepted write; no blind switch to an unreconciled legacy database.</x:v>
      </x:c>
      <x:c r="D79" s="46" t="str">
        <x:v>H01,H02,H04,E27,R05,R06,R07,R10</x:v>
      </x:c>
      <x:c r="E79" s="46" t="str">
        <x:v>https://drive.google.com/file/d/1-7B4JcFcWG3OrLUhBamPvNLURFKqU5Kl/view
https://drive.google.com/file/d/1qvzgD7D9aBc4NVM3ycZQF-l4sDPBjttu/view</x:v>
      </x:c>
      <x:c r="F79" s="46" t="str">
        <x:v>QA-29,QA-37</x:v>
      </x:c>
      <x:c r="G79" s="46" t="str">
        <x:v>Source/isolated QA only; production, sharing, credentials and commercial approvals require accountable authorization.</x:v>
      </x:c>
    </x:row>
    <x:row r="80" ht="156" customHeight="1">
      <x:c r="A80" s="46" t="str">
        <x:v>PUB01</x:v>
      </x:c>
      <x:c r="B80" s="46" t="str">
        <x:v>Verify club facts, current season, fixture/result authority, roster and media rights with explicit editorial owners.</x:v>
      </x:c>
      <x:c r="C80" s="46" t="str">
        <x:v>Approved source/rights manifest; missing facts display honestly rather than synthetic or stale claims.</x:v>
      </x:c>
      <x:c r="D80" s="46" t="str">
        <x:v>E13,E14,E15,E16,E17,E24,R06,R08</x:v>
      </x:c>
      <x:c r="E80" s="46" t="str">
        <x:v>https://drive.google.com/file/d/11HjHNGCFck0SiQGNHOWljw4Q-nxeMIPw/view
https://drive.google.com/file/d/1H03mwkVQ6Rb8GQPIYMzFwSAcoVHNfLe2/view</x:v>
      </x:c>
      <x:c r="F80" s="46" t="str">
        <x:v>QA-16</x:v>
      </x:c>
      <x:c r="G80" s="46" t="str">
        <x:v>Source/isolated QA only; production, sharing, credentials and commercial approvals require accountable authorization.</x:v>
      </x:c>
    </x:row>
    <x:row r="81" ht="156" customHeight="1">
      <x:c r="A81" s="46" t="str">
        <x:v>PUB02</x:v>
      </x:c>
      <x:c r="B81" s="46" t="str">
        <x:v>Validate complete required tables, source hashes, tenant and media, then atomically switch an approved active snapshot.</x:v>
      </x:c>
      <x:c r="C81" s="46" t="str">
        <x:v>Partial imports cannot appear fresh; all rows in a response belong to one approved snapshot.</x:v>
      </x:c>
      <x:c r="D81" s="46" t="str">
        <x:v>E13,E14,E15,E16,E17,E24,R06,R08</x:v>
      </x:c>
      <x:c r="E81" s="46" t="str">
        <x:v>https://drive.google.com/file/d/11HjHNGCFck0SiQGNHOWljw4Q-nxeMIPw/view
https://drive.google.com/file/d/1H03mwkVQ6Rb8GQPIYMzFwSAcoVHNfLe2/view</x:v>
      </x:c>
      <x:c r="F81" s="46" t="str">
        <x:v>New audit requirement</x:v>
      </x:c>
      <x:c r="G81" s="46" t="str">
        <x:v>Source/isolated QA only; production, sharing, credentials and commercial approvals require accountable authorization.</x:v>
      </x:c>
    </x:row>
    <x:row r="82" ht="156" customHeight="1">
      <x:c r="A82" s="46" t="str">
        <x:v>PUB03</x:v>
      </x:c>
      <x:c r="B82" s="46" t="str">
        <x:v>Use content-addressed keys or verify served-byte hash as well as metadata and size; bind rights checks to approved state.</x:v>
      </x:c>
      <x:c r="C82" s="46" t="str">
        <x:v>Wrong same-length object and revoked/unapproved media denied; expected originals serve correctly.</x:v>
      </x:c>
      <x:c r="D82" s="46" t="str">
        <x:v>E13,E14,E15,E16,E17,E24,R06,R08</x:v>
      </x:c>
      <x:c r="E82" s="46" t="str">
        <x:v>https://drive.google.com/file/d/11HjHNGCFck0SiQGNHOWljw4Q-nxeMIPw/view
https://drive.google.com/file/d/1H03mwkVQ6Rb8GQPIYMzFwSAcoVHNfLe2/view</x:v>
      </x:c>
      <x:c r="F82" s="46" t="str">
        <x:v>QA-20</x:v>
      </x:c>
      <x:c r="G82" s="46" t="str">
        <x:v>Source/isolated QA only; production, sharing, credentials and commercial approvals require accountable authorization.</x:v>
      </x:c>
    </x:row>
    <x:row r="83" ht="156" customHeight="1">
      <x:c r="A83" s="46" t="str">
        <x:v>PUB04</x:v>
      </x:c>
      <x:c r="B83" s="46" t="str">
        <x:v>Set per-content freshness, stale presentation, cache TTL and emergency rights withdrawal behavior; avoid hidden media exemptions.</x:v>
      </x:c>
      <x:c r="C83" s="46" t="str">
        <x:v>Old/mixed snapshots and cache revocation tests pass; operator can withdraw content with attributable evidence.</x:v>
      </x:c>
      <x:c r="D83" s="46" t="str">
        <x:v>E13,E14,E15,E16,E17,E24,R06,R08</x:v>
      </x:c>
      <x:c r="E83" s="46" t="str">
        <x:v>https://drive.google.com/file/d/11HjHNGCFck0SiQGNHOWljw4Q-nxeMIPw/view
https://drive.google.com/file/d/1H03mwkVQ6Rb8GQPIYMzFwSAcoVHNfLe2/view</x:v>
      </x:c>
      <x:c r="F83" s="46" t="str">
        <x:v>New audit requirement</x:v>
      </x:c>
      <x:c r="G83" s="46" t="str">
        <x:v>Source/isolated QA only; production, sharing, credentials and commercial approvals require accountable authorization.</x:v>
      </x:c>
    </x:row>
    <x:row r="84" ht="156" customHeight="1">
      <x:c r="A84" s="46" t="str">
        <x:v>PUB05</x:v>
      </x:c>
      <x:c r="B84" s="46" t="str">
        <x:v>Deliver a consistent console shell/configuration/session RPC contract with fixed direct Access ingress and private publisher binding.</x:v>
      </x:c>
      <x:c r="C84" s="46" t="str">
        <x:v>Browser-to-Access-to-publisher-to-reader journey works on actual staging, not just offline DOM mocks.</x:v>
      </x:c>
      <x:c r="D84" s="46" t="str">
        <x:v>E13,E14,E15,E16,E17,E24,R06,R08</x:v>
      </x:c>
      <x:c r="E84" s="46" t="str">
        <x:v>https://drive.google.com/file/d/11HjHNGCFck0SiQGNHOWljw4Q-nxeMIPw/view
https://drive.google.com/file/d/1H03mwkVQ6Rb8GQPIYMzFwSAcoVHNfLe2/view</x:v>
      </x:c>
      <x:c r="F84" s="46" t="str">
        <x:v>QA-17</x:v>
      </x:c>
      <x:c r="G84" s="46" t="str">
        <x:v>Source/isolated QA only; production, sharing, credentials and commercial approvals require accountable authorization.</x:v>
      </x:c>
    </x:row>
    <x:row r="85" ht="156" customHeight="1">
      <x:c r="A85" s="46" t="str">
        <x:v>PUB06</x:v>
      </x:c>
      <x:c r="B85" s="46" t="str">
        <x:v>Require review of exact content/hash and explicit publication, with original-key recovery for unknown results.</x:v>
      </x:c>
      <x:c r="C85" s="46" t="str">
        <x:v>Lost reply/reload/tab-loss support cases reconcile without duplicate publication or invented review approval.</x:v>
      </x:c>
      <x:c r="D85" s="46" t="str">
        <x:v>E13,E14,E15,E16,E17,E24,R06,R08</x:v>
      </x:c>
      <x:c r="E85" s="46" t="str">
        <x:v>https://drive.google.com/file/d/11HjHNGCFck0SiQGNHOWljw4Q-nxeMIPw/view
https://drive.google.com/file/d/1H03mwkVQ6Rb8GQPIYMzFwSAcoVHNfLe2/view</x:v>
      </x:c>
      <x:c r="F85" s="46" t="str">
        <x:v>New audit requirement</x:v>
      </x:c>
      <x:c r="G85" s="46" t="str">
        <x:v>Source/isolated QA only; production, sharing, credentials and commercial approvals require accountable authorization.</x:v>
      </x:c>
    </x:row>
    <x:row r="86" ht="156" customHeight="1">
      <x:c r="A86" s="46" t="str">
        <x:v>PUB07</x:v>
      </x:c>
      <x:c r="B86" s="46" t="str">
        <x:v>Replace unbounded whole-table scans and repeated media-map loads with indexed projections, paging and bounded payloads as required by measured data.</x:v>
      </x:c>
      <x:c r="C86" s="46" t="str">
        <x:v>Representative dataset/peak reads meet latency and cost budgets with stable sorting and consistent snapshots.</x:v>
      </x:c>
      <x:c r="D86" s="46" t="str">
        <x:v>E13,E14,E15,E16,E17,E24,R06,R08</x:v>
      </x:c>
      <x:c r="E86" s="46" t="str">
        <x:v>https://drive.google.com/file/d/11HjHNGCFck0SiQGNHOWljw4Q-nxeMIPw/view
https://drive.google.com/file/d/1H03mwkVQ6Rb8GQPIYMzFwSAcoVHNfLe2/view</x:v>
      </x:c>
      <x:c r="F86" s="46" t="str">
        <x:v>QA-28</x:v>
      </x:c>
      <x:c r="G86" s="46" t="str">
        <x:v>Source/isolated QA only; production, sharing, credentials and commercial approvals require accountable authorization.</x:v>
      </x:c>
    </x:row>
    <x:row r="87" ht="156" customHeight="1">
      <x:c r="A87" s="46" t="str">
        <x:v>PUB08</x:v>
      </x:c>
      <x:c r="B87" s="46" t="str">
        <x:v>Configure verified host-to-club mappings, branded metadata, sitemap/canonical/robots behavior and unknown-host rejection.</x:v>
      </x:c>
      <x:c r="C87" s="46" t="str">
        <x:v>Five-club host tests; no other club inherits Rayon canonical URLs, content or credentials.</x:v>
      </x:c>
      <x:c r="D87" s="46" t="str">
        <x:v>E13,E14,E15,E16,E17,E24,R06,R08</x:v>
      </x:c>
      <x:c r="E87" s="46" t="str">
        <x:v>https://drive.google.com/file/d/11HjHNGCFck0SiQGNHOWljw4Q-nxeMIPw/view
https://drive.google.com/file/d/1H03mwkVQ6Rb8GQPIYMzFwSAcoVHNfLe2/view</x:v>
      </x:c>
      <x:c r="F87" s="46" t="str">
        <x:v>QA-15</x:v>
      </x:c>
      <x:c r="G87" s="46" t="str">
        <x:v>Source/isolated QA only; production, sharing, credentials and commercial approvals require accountable authorization.</x:v>
      </x:c>
    </x:row>
    <x:row r="88" ht="156" customHeight="1">
      <x:c r="A88" s="46" t="str">
        <x:v>PUB09</x:v>
      </x:c>
      <x:c r="B88" s="46" t="str">
        <x:v>Verify discovery, pages, responsive states, legal/support/deletion links, app links and image failure modes across declared browsers.</x:v>
      </x:c>
      <x:c r="C88" s="46" t="str">
        <x:v>All enabled route/state/club cases mapped and current; no screenshot count presented as coverage.</x:v>
      </x:c>
      <x:c r="D88" s="46" t="str">
        <x:v>E13,E14,E15,E16,E17,E24,R06,R08</x:v>
      </x:c>
      <x:c r="E88" s="46" t="str">
        <x:v>https://drive.google.com/file/d/11HjHNGCFck0SiQGNHOWljw4Q-nxeMIPw/view
https://drive.google.com/file/d/1H03mwkVQ6Rb8GQPIYMzFwSAcoVHNfLe2/view</x:v>
      </x:c>
      <x:c r="F88" s="46" t="str">
        <x:v>QA-15</x:v>
      </x:c>
      <x:c r="G88" s="46" t="str">
        <x:v>Source/isolated QA only; production, sharing, credentials and commercial approvals require accountable authorization.</x:v>
      </x:c>
    </x:row>
    <x:row r="89" ht="156" customHeight="1">
      <x:c r="A89" s="46" t="str">
        <x:v>PUB10</x:v>
      </x:c>
      <x:c r="B89" s="46" t="str">
        <x:v>Treat feeds and generated copy/media as untrusted evidence; constrain fetches, uploads and AI output to review-before-publication.</x:v>
      </x:c>
      <x:c r="C89" s="46" t="str">
        <x:v>Prompt injection or malformed feed cannot approve publication or create financial authority; generated rights status remains explicit.</x:v>
      </x:c>
      <x:c r="D89" s="46" t="str">
        <x:v>E13,E14,E15,E16,E17,E24,R06,R08</x:v>
      </x:c>
      <x:c r="E89" s="46" t="str">
        <x:v>https://drive.google.com/file/d/11HjHNGCFck0SiQGNHOWljw4Q-nxeMIPw/view
https://drive.google.com/file/d/1H03mwkVQ6Rb8GQPIYMzFwSAcoVHNfLe2/view</x:v>
      </x:c>
      <x:c r="F89" s="46" t="str">
        <x:v>QA-21</x:v>
      </x:c>
      <x:c r="G89" s="46" t="str">
        <x:v>Source/isolated QA only; production, sharing, credentials and commercial approvals require accountable authorization.</x:v>
      </x:c>
    </x:row>
    <x:row r="90" ht="156" customHeight="1">
      <x:c r="A90" s="46" t="str">
        <x:v>NAT01</x:v>
      </x:c>
      <x:c r="B90" s="46" t="str">
        <x:v>Resolve archive-only iOS files and reconcile Android/Dart additions into the canonical shared package without duplicating across shells.</x:v>
      </x:c>
      <x:c r="C90" s="46" t="str">
        <x:v>Accepted source is at actual build paths with explicit version and provenance; no missing or stale bridge entrypoint.</x:v>
      </x:c>
      <x:c r="D90" s="46" t="str">
        <x:v>E02,E21,E22,E28,E30,R12,R14,R24</x:v>
      </x:c>
      <x:c r="E90" s="46" t="str">
        <x:v>https://drive.google.com/file/d/1NBjccCUL0GExYKlWVsGptSv3TttePFa7/view
https://drive.google.com/file/d/1ttCHtZXH3pzDt9s7yAr6ks_D_gNMAGri/view</x:v>
      </x:c>
      <x:c r="F90" s="46" t="str">
        <x:v>QA-22</x:v>
      </x:c>
      <x:c r="G90" s="46" t="str">
        <x:v>Source/isolated QA only; production, sharing, credentials and commercial approvals require accountable authorization.</x:v>
      </x:c>
    </x:row>
    <x:row r="91" ht="156" customHeight="1">
      <x:c r="A91" s="46" t="str">
        <x:v>NAT02</x:v>
      </x:c>
      <x:c r="B91" s="46" t="str">
        <x:v>Build Dart/Flutter adapters and Android/Apple host code using the actual platform SDKs; run host integration tests.</x:v>
      </x:c>
      <x:c r="C91" s="46" t="str">
        <x:v>Analyzer, compiler and platform tests pass; portable JVM/Swift results are not substituted.</x:v>
      </x:c>
      <x:c r="D91" s="46" t="str">
        <x:v>E02,E21,E22,E28,E30,R12,R14,R24</x:v>
      </x:c>
      <x:c r="E91" s="46" t="str">
        <x:v>https://drive.google.com/file/d/1NBjccCUL0GExYKlWVsGptSv3TttePFa7/view
https://drive.google.com/file/d/1ttCHtZXH3pzDt9s7yAr6ks_D_gNMAGri/view</x:v>
      </x:c>
      <x:c r="F91" s="46" t="str">
        <x:v>QA-22</x:v>
      </x:c>
      <x:c r="G91" s="46" t="str">
        <x:v>Source/isolated QA only; production, sharing, credentials and commercial approvals require accountable authorization.</x:v>
      </x:c>
    </x:row>
    <x:row r="92" ht="156" customHeight="1">
      <x:c r="A92" s="46" t="str">
        <x:v>NAT03</x:v>
      </x:c>
      <x:c r="B92" s="46" t="str">
        <x:v>Exercise Keychain/Keystore, locked device, process/isolate death, corrupt state, interrupted writes, low disk and key invalidation.</x:v>
      </x:c>
      <x:c r="C92" s="46" t="str">
        <x:v>Device evidence confirms state is not silently reset or double-submitted; acknowledged writes survive approved failure scenarios.</x:v>
      </x:c>
      <x:c r="D92" s="46" t="str">
        <x:v>E02,E21,E22,E28,E30,R12,R14,R24</x:v>
      </x:c>
      <x:c r="E92" s="46" t="str">
        <x:v>https://drive.google.com/file/d/1NBjccCUL0GExYKlWVsGptSv3TttePFa7/view
https://drive.google.com/file/d/1ttCHtZXH3pzDt9s7yAr6ks_D_gNMAGri/view</x:v>
      </x:c>
      <x:c r="F92" s="46" t="str">
        <x:v>QA-33</x:v>
      </x:c>
      <x:c r="G92" s="46" t="str">
        <x:v>Source/isolated QA only; production, sharing, credentials and commercial approvals require accountable authorization.</x:v>
      </x:c>
    </x:row>
    <x:row r="93" ht="156" customHeight="1">
      <x:c r="A93" s="46" t="str">
        <x:v>NAT04</x:v>
      </x:c>
      <x:c r="B93" s="46" t="str">
        <x:v>Wire one shared plugin/channel composition per app engine, credential supplier and recovery ports under reviewed runtime flags.</x:v>
      </x:c>
      <x:c r="C93" s="46" t="str">
        <x:v>Actual five-club app builds use correct shared implementation, no plaintext or in-memory production fallback.</x:v>
      </x:c>
      <x:c r="D93" s="46" t="str">
        <x:v>E02,E21,E22,E28,E30,R12,R14,R24</x:v>
      </x:c>
      <x:c r="E93" s="46" t="str">
        <x:v>https://drive.google.com/file/d/1NBjccCUL0GExYKlWVsGptSv3TttePFa7/view
https://drive.google.com/file/d/1ttCHtZXH3pzDt9s7yAr6ks_D_gNMAGri/view</x:v>
      </x:c>
      <x:c r="F93" s="46" t="str">
        <x:v>QA-24</x:v>
      </x:c>
      <x:c r="G93" s="46" t="str">
        <x:v>Source/isolated QA only; production, sharing, credentials and commercial approvals require accountable authorization.</x:v>
      </x:c>
    </x:row>
    <x:row r="94" ht="156" customHeight="1">
      <x:c r="A94" s="46" t="str">
        <x:v>NAT05</x:v>
      </x:c>
      <x:c r="B94" s="46" t="str">
        <x:v>Do not assume tel star/hash USSD works on iOS; verify supported carrier/provider flow and provide an explicit safe alternative where unsupported.</x:v>
      </x:c>
      <x:c r="C94" s="46" t="str">
        <x:v>Physical iPhone and carrier results; truthful unsupported state/manual or approved provider path with separate confirmation.</x:v>
      </x:c>
      <x:c r="D94" s="46" t="str">
        <x:v>E02,E21,E22,E28,E30,R12,R14,R24</x:v>
      </x:c>
      <x:c r="E94" s="46" t="str">
        <x:v>https://drive.google.com/file/d/1NBjccCUL0GExYKlWVsGptSv3TttePFa7/view
https://drive.google.com/file/d/1ttCHtZXH3pzDt9s7yAr6ks_D_gNMAGri/view</x:v>
      </x:c>
      <x:c r="F94" s="46" t="str">
        <x:v>QA-24,QA-33</x:v>
      </x:c>
      <x:c r="G94" s="46" t="str">
        <x:v>Source/isolated QA only; production, sharing, credentials and commercial approvals require accountable authorization.</x:v>
      </x:c>
    </x:row>
    <x:row r="95" ht="156" customHeight="1">
      <x:c r="A95" s="46" t="str">
        <x:v>NAT06</x:v>
      </x:c>
      <x:c r="B95" s="46" t="str">
        <x:v>Verify external dialer invocation, dual-SIM choice, denied/missing handlers, foreground return and operator-specific USSD behavior.</x:v>
      </x:c>
      <x:c r="C95" s="46" t="str">
        <x:v>Physical devices and test accounts show one explicit handoff; opened dialog is never payment success.</x:v>
      </x:c>
      <x:c r="D95" s="46" t="str">
        <x:v>E02,E21,E22,E28,E30,R12,R14,R24</x:v>
      </x:c>
      <x:c r="E95" s="46" t="str">
        <x:v>https://drive.google.com/file/d/1NBjccCUL0GExYKlWVsGptSv3TttePFa7/view
https://drive.google.com/file/d/1ttCHtZXH3pzDt9s7yAr6ks_D_gNMAGri/view</x:v>
      </x:c>
      <x:c r="F95" s="46" t="str">
        <x:v>QA-24,QA-33</x:v>
      </x:c>
      <x:c r="G95" s="46" t="str">
        <x:v>Source/isolated QA only; production, sharing, credentials and commercial approvals require accountable authorization.</x:v>
      </x:c>
    </x:row>
    <x:row r="96" ht="156" customHeight="1">
      <x:c r="A96" s="46" t="str">
        <x:v>NAT07</x:v>
      </x:c>
      <x:c r="B96" s="46" t="str">
        <x:v>Display exact approved payment fields and a separate confirmation action; invalidate review on background, logout, switch and route exit.</x:v>
      </x:c>
      <x:c r="C96" s="46" t="str">
        <x:v>Reader/keyboard/large-text tests and interruption races show stale instructions cannot be confirmed.</x:v>
      </x:c>
      <x:c r="D96" s="46" t="str">
        <x:v>E02,E21,E22,E28,E30,R12,R14,R24</x:v>
      </x:c>
      <x:c r="E96" s="46" t="str">
        <x:v>https://drive.google.com/file/d/1NBjccCUL0GExYKlWVsGptSv3TttePFa7/view
https://drive.google.com/file/d/1ttCHtZXH3pzDt9s7yAr6ks_D_gNMAGri/view</x:v>
      </x:c>
      <x:c r="F96" s="46" t="str">
        <x:v>QA-24,QA-27</x:v>
      </x:c>
      <x:c r="G96" s="46" t="str">
        <x:v>Source/isolated QA only; production, sharing, credentials and commercial approvals require accountable authorization.</x:v>
      </x:c>
    </x:row>
    <x:row r="97" ht="156" customHeight="1">
      <x:c r="A97" s="46" t="str">
        <x:v>NAT08</x:v>
      </x:c>
      <x:c r="B97" s="46" t="str">
        <x:v>Test application upgrades, backup restoration, reinstall/new device and cross-device unresolved operations against server recovery.</x:v>
      </x:c>
      <x:c r="C97" s="46" t="str">
        <x:v>No double attempt because encrypted local state or installation identifier changed; support path remains usable.</x:v>
      </x:c>
      <x:c r="D97" s="46" t="str">
        <x:v>E02,E21,E22,E28,E30,R12,R14,R24</x:v>
      </x:c>
      <x:c r="E97" s="46" t="str">
        <x:v>https://drive.google.com/file/d/1NBjccCUL0GExYKlWVsGptSv3TttePFa7/view
https://drive.google.com/file/d/1ttCHtZXH3pzDt9s7yAr6ks_D_gNMAGri/view</x:v>
      </x:c>
      <x:c r="F97" s="46" t="str">
        <x:v>QA-24,QA-33</x:v>
      </x:c>
      <x:c r="G97" s="46" t="str">
        <x:v>Source/isolated QA only; production, sharing, credentials and commercial approvals require accountable authorization.</x:v>
      </x:c>
    </x:row>
    <x:row r="98" ht="156" customHeight="1">
      <x:c r="A98" s="46" t="str">
        <x:v>NAT09</x:v>
      </x:c>
      <x:c r="B98" s="46" t="str">
        <x:v>Validate unique package/bundle IDs, entitlements, icons, signing lineage, associated domains and release config for five clubs.</x:v>
      </x:c>
      <x:c r="C98" s="46" t="str">
        <x:v>Signed install/readback matrix per club/platform; placeholder Costa identifiers/assets resolved.</x:v>
      </x:c>
      <x:c r="D98" s="46" t="str">
        <x:v>E02,E21,E22,E28,E30,R12,R14,R24</x:v>
      </x:c>
      <x:c r="E98" s="46" t="str">
        <x:v>https://drive.google.com/file/d/1NBjccCUL0GExYKlWVsGptSv3TttePFa7/view
https://drive.google.com/file/d/1ttCHtZXH3pzDt9s7yAr6ks_D_gNMAGri/view</x:v>
      </x:c>
      <x:c r="F98" s="46" t="str">
        <x:v>QA-22,QA-23,QA-36</x:v>
      </x:c>
      <x:c r="G98" s="46" t="str">
        <x:v>Source/isolated QA only; production, sharing, credentials and commercial approvals require accountable authorization.</x:v>
      </x:c>
    </x:row>
    <x:row r="99" ht="156" customHeight="1">
      <x:c r="A99" s="46" t="str">
        <x:v>NAT10</x:v>
      </x:c>
      <x:c r="B99" s="46" t="str">
        <x:v>Inspect merged manifests/entitlements and dependencies; keep all supporter SMS collectors absent; validate incoming links without silent privileged actions.</x:v>
      </x:c>
      <x:c r="C99" s="46" t="str">
        <x:v>Ten artifact-level permission/deep-link checks; no unintended SMS/background collector or cross-club route access.</x:v>
      </x:c>
      <x:c r="D99" s="46" t="str">
        <x:v>E02,E21,E22,E28,E30,R12,R14,R24</x:v>
      </x:c>
      <x:c r="E99" s="46" t="str">
        <x:v>https://drive.google.com/file/d/1NBjccCUL0GExYKlWVsGptSv3TttePFa7/view
https://drive.google.com/file/d/1ttCHtZXH3pzDt9s7yAr6ks_D_gNMAGri/view</x:v>
      </x:c>
      <x:c r="F99" s="46" t="str">
        <x:v>QA-33,QA-36</x:v>
      </x:c>
      <x:c r="G99" s="46" t="str">
        <x:v>Source/isolated QA only; production, sharing, credentials and commercial approvals require accountable authorization.</x:v>
      </x:c>
    </x:row>
    <x:row r="100" ht="156" customHeight="1">
      <x:c r="A100" s="46" t="str">
        <x:v>NAT11</x:v>
      </x:c>
      <x:c r="B100" s="46" t="str">
        <x:v>Measure cold/warm start, memory, frame stalls, network/data usage and background behavior on representative low/mid-range devices.</x:v>
      </x:c>
      <x:c r="C100" s="46" t="str">
        <x:v>Approved device/network budgets and traces; no desktop benchmark used as mobile acceptance.</x:v>
      </x:c>
      <x:c r="D100" s="46" t="str">
        <x:v>E02,E21,E22,E28,E30,R12,R14,R24</x:v>
      </x:c>
      <x:c r="E100" s="46" t="str">
        <x:v>https://drive.google.com/file/d/1NBjccCUL0GExYKlWVsGptSv3TttePFa7/view
https://drive.google.com/file/d/1ttCHtZXH3pzDt9s7yAr6ks_D_gNMAGri/view</x:v>
      </x:c>
      <x:c r="F100" s="46" t="str">
        <x:v>QA-28</x:v>
      </x:c>
      <x:c r="G100" s="46" t="str">
        <x:v>Source/isolated QA only; production, sharing, credentials and commercial approvals require accountable authorization.</x:v>
      </x:c>
    </x:row>
    <x:row r="101" ht="156" customHeight="1">
      <x:c r="A101" s="46" t="str">
        <x:v>NAT12</x:v>
      </x:c>
      <x:c r="B101" s="46" t="str">
        <x:v>Run actual supporter flows including login, browsing, membership, failed/unknown payment, contribution, ticket and shop for enabled features.</x:v>
      </x:c>
      <x:c r="C101" s="46" t="str">
        <x:v>Current installed builds, persisted server state and provider evidence per declared release matrix; synthetic-only results labelled.</x:v>
      </x:c>
      <x:c r="D101" s="46" t="str">
        <x:v>E02,E21,E22,E28,E30,R12,R14,R24</x:v>
      </x:c>
      <x:c r="E101" s="46" t="str">
        <x:v>https://drive.google.com/file/d/1NBjccCUL0GExYKlWVsGptSv3TttePFa7/view
https://drive.google.com/file/d/1ttCHtZXH3pzDt9s7yAr6ks_D_gNMAGri/view</x:v>
      </x:c>
      <x:c r="F101" s="46" t="str">
        <x:v>QA-10,QA-24,QA-33</x:v>
      </x:c>
      <x:c r="G101" s="46" t="str">
        <x:v>Source/isolated QA only; production, sharing, credentials and commercial approvals require accountable authorization.</x:v>
      </x:c>
    </x:row>
    <x:row r="102" ht="156" customHeight="1">
      <x:c r="A102" s="46" t="str">
        <x:v>WEB01</x:v>
      </x:c>
      <x:c r="B102" s="46" t="str">
        <x:v>Enumerate current routes, roles, states, hostnames and feature flags rather than copying old four-club page counts.</x:v>
      </x:c>
      <x:c r="C102" s="46" t="str">
        <x:v>One current case map with applicability and disabled-route decisions; no unexplained route gap.</x:v>
      </x:c>
      <x:c r="D102" s="46" t="str">
        <x:v>E07,E08,E16,E18,E24,R04,R11,R19</x:v>
      </x:c>
      <x:c r="E102" s="46" t="str">
        <x:v>https://drive.google.com/file/d/1JriJdKI5Zl66Zb0tcrD49U8vIXdk9_su/view
https://drive.google.com/file/d/1ylTZbAFeURan9Rk_8oJwsqd1YOKJDtAM/view</x:v>
      </x:c>
      <x:c r="F102" s="46" t="str">
        <x:v>QA-02,QA-15</x:v>
      </x:c>
      <x:c r="G102" s="46" t="str">
        <x:v>Source/isolated QA only; production, sharing, credentials and commercial approvals require accountable authorization.</x:v>
      </x:c>
    </x:row>
    <x:row r="103" ht="156" customHeight="1">
      <x:c r="A103" s="46" t="str">
        <x:v>WEB02</x:v>
      </x:c>
      <x:c r="B103" s="46" t="str">
        <x:v>Verify every retained module: scope selection, search/filter/sort/paging, edit conflict, bulk partial failure and audit.</x:v>
      </x:c>
      <x:c r="C103" s="46" t="str">
        <x:v>Actual persisted wrong-role/wrong-club failures and operator task results across configured clubs.</x:v>
      </x:c>
      <x:c r="D103" s="46" t="str">
        <x:v>E07,E08,E16,E18,E24,R04,R11,R19</x:v>
      </x:c>
      <x:c r="E103" s="46" t="str">
        <x:v>https://drive.google.com/file/d/1JriJdKI5Zl66Zb0tcrD49U8vIXdk9_su/view
https://drive.google.com/file/d/1ylTZbAFeURan9Rk_8oJwsqd1YOKJDtAM/view</x:v>
      </x:c>
      <x:c r="F103" s="46" t="str">
        <x:v>QA-17</x:v>
      </x:c>
      <x:c r="G103" s="46" t="str">
        <x:v>Source/isolated QA only; production, sharing, credentials and commercial approvals require accountable authorization.</x:v>
      </x:c>
    </x:row>
    <x:row r="104" ht="156" customHeight="1">
      <x:c r="A104" s="46" t="str">
        <x:v>WEB03</x:v>
      </x:c>
      <x:c r="B104" s="46" t="str">
        <x:v>Keep private data and credentials out of shared cache/service-worker storage; partition permissible cached records by verified tenant/account.</x:v>
      </x:c>
      <x:c r="C104" s="46" t="str">
        <x:v>Logout/account switch and offline cache tests cannot display another user or club data.</x:v>
      </x:c>
      <x:c r="D104" s="46" t="str">
        <x:v>E07,E08,E16,E18,E24,R04,R11,R19</x:v>
      </x:c>
      <x:c r="E104" s="46" t="str">
        <x:v>https://drive.google.com/file/d/1JriJdKI5Zl66Zb0tcrD49U8vIXdk9_su/view
https://drive.google.com/file/d/1ylTZbAFeURan9Rk_8oJwsqd1YOKJDtAM/view</x:v>
      </x:c>
      <x:c r="F104" s="46" t="str">
        <x:v>QA-11,QA-25</x:v>
      </x:c>
      <x:c r="G104" s="46" t="str">
        <x:v>Source/isolated QA only; production, sharing, credentials and commercial approvals require accountable authorization.</x:v>
      </x:c>
    </x:row>
    <x:row r="105" ht="156" customHeight="1">
      <x:c r="A105" s="46" t="str">
        <x:v>WEB04</x:v>
      </x:c>
      <x:c r="B105" s="46" t="str">
        <x:v>Test tab/installed mode, update prompts, old tabs, offline drafts, quota/denial and safe reconnect; prohibit automatic legacy money-queue replay.</x:v>
      </x:c>
      <x:c r="C105" s="46" t="str">
        <x:v>Explicit supported mixed-version recovery and preserved drafts; unknown mutations keep original keys.</x:v>
      </x:c>
      <x:c r="D105" s="46" t="str">
        <x:v>E07,E08,E16,E18,E24,R04,R11,R19</x:v>
      </x:c>
      <x:c r="E105" s="46" t="str">
        <x:v>https://drive.google.com/file/d/1JriJdKI5Zl66Zb0tcrD49U8vIXdk9_su/view
https://drive.google.com/file/d/1ylTZbAFeURan9Rk_8oJwsqd1YOKJDtAM/view</x:v>
      </x:c>
      <x:c r="F105" s="46" t="str">
        <x:v>QA-11,QA-25</x:v>
      </x:c>
      <x:c r="G105" s="46" t="str">
        <x:v>Source/isolated QA only; production, sharing, credentials and commercial approvals require accountable authorization.</x:v>
      </x:c>
    </x:row>
    <x:row r="106" ht="156" customHeight="1">
      <x:c r="A106" s="46" t="str">
        <x:v>WEB05</x:v>
      </x:c>
      <x:c r="B106" s="46" t="str">
        <x:v>Review inline script requirements; adopt tested nonces/hashes and a reporting rollout without breaking hydration or framework behavior.</x:v>
      </x:c>
      <x:c r="C106" s="46" t="str">
        <x:v>No unjustified production unsafe-inline script allowance; route and third-party integration tests pass.</x:v>
      </x:c>
      <x:c r="D106" s="46" t="str">
        <x:v>E07,E08,E16,E18,E24,R04,R11,R19</x:v>
      </x:c>
      <x:c r="E106" s="46" t="str">
        <x:v>https://drive.google.com/file/d/1JriJdKI5Zl66Zb0tcrD49U8vIXdk9_su/view
https://drive.google.com/file/d/1ylTZbAFeURan9Rk_8oJwsqd1YOKJDtAM/view</x:v>
      </x:c>
      <x:c r="F106" s="46" t="str">
        <x:v>New audit requirement</x:v>
      </x:c>
      <x:c r="G106" s="46" t="str">
        <x:v>Source/isolated QA only; production, sharing, credentials and commercial approvals require accountable authorization.</x:v>
      </x:c>
    </x:row>
    <x:row r="107" ht="156" customHeight="1">
      <x:c r="A107" s="46" t="str">
        <x:v>WEB06</x:v>
      </x:c>
      <x:c r="B107" s="46" t="str">
        <x:v>Map denied, expired, invalid, throttled and uncertain responses to actionable states, preserving operation IDs and ownership.</x:v>
      </x:c>
      <x:c r="C107" s="46" t="str">
        <x:v>No timeout rendered as success or definitive failure after possible commit; retry and support actions tested.</x:v>
      </x:c>
      <x:c r="D107" s="46" t="str">
        <x:v>E07,E08,E16,E18,E24,R04,R11,R19</x:v>
      </x:c>
      <x:c r="E107" s="46" t="str">
        <x:v>https://drive.google.com/file/d/1JriJdKI5Zl66Zb0tcrD49U8vIXdk9_su/view
https://drive.google.com/file/d/1ylTZbAFeURan9Rk_8oJwsqd1YOKJDtAM/view</x:v>
      </x:c>
      <x:c r="F107" s="46" t="str">
        <x:v>QA-11</x:v>
      </x:c>
      <x:c r="G107" s="46" t="str">
        <x:v>Source/isolated QA only; production, sharing, credentials and commercial approvals require accountable authorization.</x:v>
      </x:c>
    </x:row>
    <x:row r="108" ht="156" customHeight="1">
      <x:c r="A108" s="46" t="str">
        <x:v>WEB07</x:v>
      </x:c>
      <x:c r="B108" s="46" t="str">
        <x:v>Constrain image/document MIME, size, filename/path and content processing; protect CSV/formula injection and export access.</x:v>
      </x:c>
      <x:c r="C108" s="46" t="str">
        <x:v>Hostile-file, traversal, unauthorized export and large-payload cases rejected without leaked data.</x:v>
      </x:c>
      <x:c r="D108" s="46" t="str">
        <x:v>E07,E08,E16,E18,E24,R04,R11,R19</x:v>
      </x:c>
      <x:c r="E108" s="46" t="str">
        <x:v>https://drive.google.com/file/d/1JriJdKI5Zl66Zb0tcrD49U8vIXdk9_su/view
https://drive.google.com/file/d/1ylTZbAFeURan9Rk_8oJwsqd1YOKJDtAM/view</x:v>
      </x:c>
      <x:c r="F108" s="46" t="str">
        <x:v>QA-20</x:v>
      </x:c>
      <x:c r="G108" s="46" t="str">
        <x:v>Source/isolated QA only; production, sharing, credentials and commercial approvals require accountable authorization.</x:v>
      </x:c>
    </x:row>
    <x:row r="109" ht="156" customHeight="1">
      <x:c r="A109" s="46" t="str">
        <x:v>WEB08</x:v>
      </x:c>
      <x:c r="B109" s="46" t="str">
        <x:v>Test dense lists/forms/dialogs on keyboard, small screens, zoom and reader navigation without forcing consumer layouts.</x:v>
      </x:c>
      <x:c r="C109" s="46" t="str">
        <x:v>Human operator tasks complete with visible focus and no obscured controls or accidental destructive actions.</x:v>
      </x:c>
      <x:c r="D109" s="46" t="str">
        <x:v>E07,E08,E16,E18,E24,R04,R11,R19</x:v>
      </x:c>
      <x:c r="E109" s="46" t="str">
        <x:v>https://drive.google.com/file/d/1JriJdKI5Zl66Zb0tcrD49U8vIXdk9_su/view
https://drive.google.com/file/d/1ylTZbAFeURan9Rk_8oJwsqd1YOKJDtAM/view</x:v>
      </x:c>
      <x:c r="F109" s="46" t="str">
        <x:v>QA-18,QA-27</x:v>
      </x:c>
      <x:c r="G109" s="46" t="str">
        <x:v>Source/isolated QA only; production, sharing, credentials and commercial approvals require accountable authorization.</x:v>
      </x:c>
    </x:row>
    <x:row r="110" ht="156" customHeight="1">
      <x:c r="A110" s="46" t="str">
        <x:v>WEB09</x:v>
      </x:c>
      <x:c r="B110" s="46" t="str">
        <x:v>Build and exercise the actual OpenNext/workerd artifact, not only Next dev or Node mocks, with exact private bindings and cache config.</x:v>
      </x:c>
      <x:c r="C110" s="46" t="str">
        <x:v>Deployed isolated artifact readback, hydration/network/error evidence and runtime-specific regression results.</x:v>
      </x:c>
      <x:c r="D110" s="46" t="str">
        <x:v>E07,E08,E16,E18,E24,R04,R11,R19</x:v>
      </x:c>
      <x:c r="E110" s="46" t="str">
        <x:v>https://drive.google.com/file/d/1JriJdKI5Zl66Zb0tcrD49U8vIXdk9_su/view
https://drive.google.com/file/d/1ylTZbAFeURan9Rk_8oJwsqd1YOKJDtAM/view</x:v>
      </x:c>
      <x:c r="F110" s="46" t="str">
        <x:v>QA-19</x:v>
      </x:c>
      <x:c r="G110" s="46" t="str">
        <x:v>Source/isolated QA only; production, sharing, credentials and commercial approvals require accountable authorization.</x:v>
      </x:c>
    </x:row>
    <x:row r="111" ht="156" customHeight="1">
      <x:c r="A111" s="46" t="str">
        <x:v>WEB10</x:v>
      </x:c>
      <x:c r="B111" s="46" t="str">
        <x:v>Record supported Safari/Firefox/Chromium versions and installed-mode limitations; test rather than extrapolate desktop Chromium.</x:v>
      </x:c>
      <x:c r="C111" s="46" t="str">
        <x:v>Supported matrix has actual current results or explicit user-visible exclusions and product approval.</x:v>
      </x:c>
      <x:c r="D111" s="46" t="str">
        <x:v>E07,E08,E16,E18,E24,R04,R11,R19</x:v>
      </x:c>
      <x:c r="E111" s="46" t="str">
        <x:v>https://drive.google.com/file/d/1JriJdKI5Zl66Zb0tcrD49U8vIXdk9_su/view
https://drive.google.com/file/d/1ylTZbAFeURan9Rk_8oJwsqd1YOKJDtAM/view</x:v>
      </x:c>
      <x:c r="F111" s="46" t="str">
        <x:v>QA-25</x:v>
      </x:c>
      <x:c r="G111" s="46" t="str">
        <x:v>Source/isolated QA only; production, sharing, credentials and commercial approvals require accountable authorization.</x:v>
      </x:c>
    </x:row>
    <x:row r="112" ht="156" customHeight="1">
      <x:c r="A112" s="46" t="str">
        <x:v>UX01</x:v>
      </x:c>
      <x:c r="B112" s="46" t="str">
        <x:v>Keep revolut-design as the chosen authority; reconcile older DESIGN/blueprint claims and bind implementation-specific adaptations.</x:v>
      </x:c>
      <x:c r="C112" s="46" t="str">
        <x:v>No conflicting authority statements; references identified by platform/theme/state and immutable hashes.</x:v>
      </x:c>
      <x:c r="D112" s="46" t="str">
        <x:v>E03,E04,E24,E25,R19,R20</x:v>
      </x:c>
      <x:c r="E112" s="46" t="str">
        <x:v>https://drive.google.com/file/d/1W-wB0714GR2PtTb01XldFYbQcFhL_1AC/view
https://drive.google.com/file/d/1GcYfaSWxQqQBw2OMLoX1Q_qZCWPd5-wT/view</x:v>
      </x:c>
      <x:c r="F112" s="46" t="str">
        <x:v>QA-03,QA-26</x:v>
      </x:c>
      <x:c r="G112" s="46" t="str">
        <x:v>Source/isolated QA only; production, sharing, credentials and commercial approvals require accountable authorization.</x:v>
      </x:c>
    </x:row>
    <x:row r="113" ht="156" customHeight="1">
      <x:c r="A113" s="46" t="str">
        <x:v>UX02</x:v>
      </x:c>
      <x:c r="B113" s="46" t="str">
        <x:v>Apply WCAG 2.2 AA where applicable plus native reader/large-text/reduced-motion testing; do not rely solely on automated axe.</x:v>
      </x:c>
      <x:c r="C113" s="46" t="str">
        <x:v>Human keyboard/VoiceOver/TalkBack task evidence, contrast/focus/reflow results and fixed critical barriers.</x:v>
      </x:c>
      <x:c r="D113" s="46" t="str">
        <x:v>E03,E04,E24,E25,R19,R20</x:v>
      </x:c>
      <x:c r="E113" s="46" t="str">
        <x:v>https://drive.google.com/file/d/1W-wB0714GR2PtTb01XldFYbQcFhL_1AC/view
https://drive.google.com/file/d/1GcYfaSWxQqQBw2OMLoX1Q_qZCWPd5-wT/view</x:v>
      </x:c>
      <x:c r="F113" s="46" t="str">
        <x:v>QA-18,QA-27</x:v>
      </x:c>
      <x:c r="G113" s="46" t="str">
        <x:v>Source/isolated QA only; production, sharing, credentials and commercial approvals require accountable authorization.</x:v>
      </x:c>
    </x:row>
    <x:row r="114" ht="156" customHeight="1">
      <x:c r="A114" s="46" t="str">
        <x:v>UX03</x:v>
      </x:c>
      <x:c r="B114" s="46" t="str">
        <x:v>Compare final rendered screens with the selected reference cohort; retain club identity and document justified differences.</x:v>
      </x:c>
      <x:c r="C114" s="46" t="str">
        <x:v>Current implementer, independent reviewer and owner decisions; September20 gallery approval not reused for different artifacts.</x:v>
      </x:c>
      <x:c r="D114" s="46" t="str">
        <x:v>E03,E04,E24,E25,R19,R20</x:v>
      </x:c>
      <x:c r="E114" s="46" t="str">
        <x:v>https://drive.google.com/file/d/1W-wB0714GR2PtTb01XldFYbQcFhL_1AC/view
https://drive.google.com/file/d/1GcYfaSWxQqQBw2OMLoX1Q_qZCWPd5-wT/view</x:v>
      </x:c>
      <x:c r="F114" s="46" t="str">
        <x:v>QA-03,QA-26,QA-35</x:v>
      </x:c>
      <x:c r="G114" s="46" t="str">
        <x:v>Source/isolated QA only; production, sharing, credentials and commercial approvals require accountable authorization.</x:v>
      </x:c>
    </x:row>
    <x:row r="115" ht="156" customHeight="1">
      <x:c r="A115" s="46" t="str">
        <x:v>UX04</x:v>
      </x:c>
      <x:c r="B115" s="46" t="str">
        <x:v>Review empty/stale/denied/processing/unknown/completed states, currency/date wording and help paths for each important journey.</x:v>
      </x:c>
      <x:c r="C115" s="46" t="str">
        <x:v>No misleading payment/delivery/entitlement statement; user tests recover without guessing the next action.</x:v>
      </x:c>
      <x:c r="D115" s="46" t="str">
        <x:v>E03,E04,E24,E25,R19,R20</x:v>
      </x:c>
      <x:c r="E115" s="46" t="str">
        <x:v>https://drive.google.com/file/d/1W-wB0714GR2PtTb01XldFYbQcFhL_1AC/view
https://drive.google.com/file/d/1GcYfaSWxQqQBw2OMLoX1Q_qZCWPd5-wT/view</x:v>
      </x:c>
      <x:c r="F115" s="46" t="str">
        <x:v>QA-27</x:v>
      </x:c>
      <x:c r="G115" s="46" t="str">
        <x:v>Source/isolated QA only; production, sharing, credentials and commercial approvals require accountable authorization.</x:v>
      </x:c>
    </x:row>
    <x:row r="116" ht="156" customHeight="1">
      <x:c r="A116" s="46" t="str">
        <x:v>UX05</x:v>
      </x:c>
      <x:c r="B116" s="46" t="str">
        <x:v>Honor the currently approved language scope; explicitly decide additions and test supported currencies, dates, names and content lengths.</x:v>
      </x:c>
      <x:c r="C116" s="46" t="str">
        <x:v>Versioned locale/support policy and native/web checks; no invented locale support or mandatory new translation scope.</x:v>
      </x:c>
      <x:c r="D116" s="46" t="str">
        <x:v>E03,E04,E24,E25,R19,R20</x:v>
      </x:c>
      <x:c r="E116" s="46" t="str">
        <x:v>https://drive.google.com/file/d/1W-wB0714GR2PtTb01XldFYbQcFhL_1AC/view
https://drive.google.com/file/d/1GcYfaSWxQqQBw2OMLoX1Q_qZCWPd5-wT/view</x:v>
      </x:c>
      <x:c r="F116" s="46" t="str">
        <x:v>QA-27</x:v>
      </x:c>
      <x:c r="G116" s="46" t="str">
        <x:v>Source/isolated QA only; production, sharing, credentials and commercial approvals require accountable authorization.</x:v>
      </x:c>
    </x:row>
    <x:row r="117" ht="156" customHeight="1">
      <x:c r="A117" s="46" t="str">
        <x:v>UX06</x:v>
      </x:c>
      <x:c r="B117" s="46" t="str">
        <x:v>Run consented low-bandwidth, low-device-capability and operator tasks with a small diverse sample; distinguish research limits from population claims.</x:v>
      </x:c>
      <x:c r="C117" s="46" t="str">
        <x:v>Observed unassisted completion/error/recovery results and remediation of high-impact failures.</x:v>
      </x:c>
      <x:c r="D117" s="46" t="str">
        <x:v>E03,E04,E24,E25,R19,R20</x:v>
      </x:c>
      <x:c r="E117" s="46" t="str">
        <x:v>https://drive.google.com/file/d/1W-wB0714GR2PtTb01XldFYbQcFhL_1AC/view
https://drive.google.com/file/d/1GcYfaSWxQqQBw2OMLoX1Q_qZCWPd5-wT/view</x:v>
      </x:c>
      <x:c r="F117" s="46" t="str">
        <x:v>QA-27,QA-35</x:v>
      </x:c>
      <x:c r="G117" s="46" t="str">
        <x:v>Source/isolated QA only; production, sharing, credentials and commercial approvals require accountable authorization.</x:v>
      </x:c>
    </x:row>
    <x:row r="118" ht="156" customHeight="1">
      <x:c r="A118" s="46" t="str">
        <x:v>UX07</x:v>
      </x:c>
      <x:c r="B118" s="46" t="str">
        <x:v>Populate route/state/build-bundle registries from final candidate evidence; preserve other output archives and mark stale/NA explicitly.</x:v>
      </x:c>
      <x:c r="C118" s="46" t="str">
        <x:v>Every enabled route and critical state has a traceable evidence or blocker; empty authoritative registers resolved.</x:v>
      </x:c>
      <x:c r="D118" s="46" t="str">
        <x:v>E03,E04,E24,E25,R19,R20</x:v>
      </x:c>
      <x:c r="E118" s="46" t="str">
        <x:v>https://drive.google.com/file/d/1W-wB0714GR2PtTb01XldFYbQcFhL_1AC/view
https://drive.google.com/file/d/1GcYfaSWxQqQBw2OMLoX1Q_qZCWPd5-wT/view</x:v>
      </x:c>
      <x:c r="F118" s="46" t="str">
        <x:v>QA-02,QA-26,QA-31</x:v>
      </x:c>
      <x:c r="G118" s="46" t="str">
        <x:v>Source/isolated QA only; production, sharing, credentials and commercial approvals require accountable authorization.</x:v>
      </x:c>
    </x:row>
    <x:row r="119" ht="156" customHeight="1">
      <x:c r="A119" s="46" t="str">
        <x:v>UX08</x:v>
      </x:c>
      <x:c r="B119" s="46" t="str">
        <x:v>Validate crests, photography, video/feed reuse, sponsorship marks and generated assets for each distribution channel.</x:v>
      </x:c>
      <x:c r="C119" s="46" t="str">
        <x:v>Rights owner, scope, expiry and takedown process documented; unverified assets withheld rather than treated as copyrighted ownership proof.</x:v>
      </x:c>
      <x:c r="D119" s="46" t="str">
        <x:v>E03,E04,E24,E25,R19,R20</x:v>
      </x:c>
      <x:c r="E119" s="46" t="str">
        <x:v>https://drive.google.com/file/d/1W-wB0714GR2PtTb01XldFYbQcFhL_1AC/view
https://drive.google.com/file/d/1GcYfaSWxQqQBw2OMLoX1Q_qZCWPd5-wT/view</x:v>
      </x:c>
      <x:c r="F119" s="46" t="str">
        <x:v>QA-16,QA-35</x:v>
      </x:c>
      <x:c r="G119" s="46" t="str">
        <x:v>Source/isolated QA only; production, sharing, credentials and commercial approvals require accountable authorization.</x:v>
      </x:c>
    </x:row>
    <x:row r="120" ht="156" customHeight="1">
      <x:c r="A120" s="46" t="str">
        <x:v>LEG01</x:v>
      </x:c>
      <x:c r="B120" s="46" t="str">
        <x:v>Document club authority, contracts, legal operator, merchant owner, customer support, publication rights and distribution responsibility per country.</x:v>
      </x:c>
      <x:c r="C120" s="46" t="str">
        <x:v>Complete Rwanda/Burundi/Zambia/DRC/Mozambique entity and responsibility matrix; no blanket Africa-wide approval.</x:v>
      </x:c>
      <x:c r="D120" s="46" t="str">
        <x:v>E03,E23,H01,R07,R15,R16,R17,R18,R21,R22</x:v>
      </x:c>
      <x:c r="E120" s="46" t="str">
        <x:v>https://drive.google.com/file/d/1W-wB0714GR2PtTb01XldFYbQcFhL_1AC/view
https://drive.google.com/file/d/17ycbTO5tfhGoKOFEnqrDMmIud2MmIQWJ/view</x:v>
      </x:c>
      <x:c r="F120" s="46" t="str">
        <x:v>QA-22</x:v>
      </x:c>
      <x:c r="G120" s="46" t="str">
        <x:v>Source/isolated QA only; production, sharing, credentials and commercial approvals require accountable authorization.</x:v>
      </x:c>
    </x:row>
    <x:row r="121" ht="156" customHeight="1">
      <x:c r="A121" s="46" t="str">
        <x:v>LEG02</x:v>
      </x:c>
      <x:c r="B121" s="46" t="str">
        <x:v>Review membership benefits, physical tickets/goods, digital services, contributions and provider funds flow; determine applicable billing/tax/refund requirements.</x:v>
      </x:c>
      <x:c r="C121" s="46" t="str">
        <x:v>Counsel/provider/platform decisions tied to actual benefits and money flow, not only product labels.</x:v>
      </x:c>
      <x:c r="D121" s="46" t="str">
        <x:v>E03,E23,H01,R07,R15,R16,R17,R18,R21,R22</x:v>
      </x:c>
      <x:c r="E121" s="46" t="str">
        <x:v>https://drive.google.com/file/d/1W-wB0714GR2PtTb01XldFYbQcFhL_1AC/view
https://drive.google.com/file/d/17ycbTO5tfhGoKOFEnqrDMmIud2MmIQWJ/view</x:v>
      </x:c>
      <x:c r="F121" s="46" t="str">
        <x:v>New audit requirement</x:v>
      </x:c>
      <x:c r="G121" s="46" t="str">
        <x:v>Source/isolated QA only; production, sharing, credentials and commercial approvals require accountable authorization.</x:v>
      </x:c>
    </x:row>
    <x:row r="122" ht="156" customHeight="1">
      <x:c r="A122" s="46" t="str">
        <x:v>LEG03</x:v>
      </x:c>
      <x:c r="B122" s="46" t="str">
        <x:v>Resolve free entry/rewards versus historic debits/pools; review prize/value/minor access and platform requirements in each offered market.</x:v>
      </x:c>
      <x:c r="C122" s="46" t="str">
        <x:v>Versioned approved contract and release restrictions; no inference that closed-loop points automatically remove all regulatory concerns.</x:v>
      </x:c>
      <x:c r="D122" s="46" t="str">
        <x:v>E03,E23,H01,R07,R15,R16,R17,R18,R21,R22</x:v>
      </x:c>
      <x:c r="E122" s="46" t="str">
        <x:v>https://drive.google.com/file/d/1W-wB0714GR2PtTb01XldFYbQcFhL_1AC/view
https://drive.google.com/file/d/17ycbTO5tfhGoKOFEnqrDMmIud2MmIQWJ/view</x:v>
      </x:c>
      <x:c r="F122" s="46" t="str">
        <x:v>QA-12</x:v>
      </x:c>
      <x:c r="G122" s="46" t="str">
        <x:v>Source/isolated QA only; production, sharing, credentials and commercial approvals require accountable authorization.</x:v>
      </x:c>
    </x:row>
    <x:row r="123" ht="156" customHeight="1">
      <x:c r="A123" s="46" t="str">
        <x:v>LEG04</x:v>
      </x:c>
      <x:c r="B123" s="46" t="str">
        <x:v>Define controller/processor roles, lawful basis, notices, records, rights requests, retention and breach response across all services.</x:v>
      </x:c>
      <x:c r="C123" s="46" t="str">
        <x:v>Role-specific contracts, records and approval; immutable IDs/hashes treated as potentially linkable data.</x:v>
      </x:c>
      <x:c r="D123" s="46" t="str">
        <x:v>E03,E23,H01,R07,R15,R16,R17,R18,R21,R22</x:v>
      </x:c>
      <x:c r="E123" s="46" t="str">
        <x:v>https://drive.google.com/file/d/1W-wB0714GR2PtTb01XldFYbQcFhL_1AC/view
https://drive.google.com/file/d/17ycbTO5tfhGoKOFEnqrDMmIud2MmIQWJ/view</x:v>
      </x:c>
      <x:c r="F123" s="46" t="str">
        <x:v>QA-37</x:v>
      </x:c>
      <x:c r="G123" s="46" t="str">
        <x:v>Source/isolated QA only; production, sharing, credentials and commercial approvals require accountable authorization.</x:v>
      </x:c>
    </x:row>
    <x:row r="124" ht="156" customHeight="1">
      <x:c r="A124" s="46" t="str">
        <x:v>LEG05</x:v>
      </x:c>
      <x:c r="B124" s="46" t="str">
        <x:v>Map actual personal-data hosting/processing/backups and obtain applicable NCSA authorization and safeguards before candidate hosting.</x:v>
      </x:c>
      <x:c r="C124" s="46" t="str">
        <x:v>Reviewed authorization/registration evidence or approved compliant alternative; Cloudflare location hints not used as legal proof.</x:v>
      </x:c>
      <x:c r="D124" s="46" t="str">
        <x:v>E03,E23,H01,R07,R15,R16,R17,R18,R21,R22</x:v>
      </x:c>
      <x:c r="E124" s="46" t="str">
        <x:v>https://drive.google.com/file/d/1W-wB0714GR2PtTb01XldFYbQcFhL_1AC/view
https://drive.google.com/file/d/17ycbTO5tfhGoKOFEnqrDMmIud2MmIQWJ/view</x:v>
      </x:c>
      <x:c r="F124" s="46" t="str">
        <x:v>QA-37</x:v>
      </x:c>
      <x:c r="G124" s="46" t="str">
        <x:v>Source/isolated QA only; production, sharing, credentials and commercial approvals require accountable authorization.</x:v>
      </x:c>
    </x:row>
    <x:row r="125" ht="156" customHeight="1">
      <x:c r="A125" s="46" t="str">
        <x:v>LEG06</x:v>
      </x:c>
      <x:c r="B125" s="46" t="str">
        <x:v>Use official DPC materials to assess registration, local processing/transfer conditions and applicable obligations for Nkana.</x:v>
      </x:c>
      <x:c r="C125" s="46" t="str">
        <x:v>Country-specific written determination and required filings/contracts; no assertion of exemption without analysis.</x:v>
      </x:c>
      <x:c r="D125" s="46" t="str">
        <x:v>E03,E23,H01,R07,R15,R16,R17,R18,R21,R22</x:v>
      </x:c>
      <x:c r="E125" s="46" t="str">
        <x:v>https://drive.google.com/file/d/1W-wB0714GR2PtTb01XldFYbQcFhL_1AC/view
https://drive.google.com/file/d/17ycbTO5tfhGoKOFEnqrDMmIud2MmIQWJ/view</x:v>
      </x:c>
      <x:c r="F125" s="46" t="str">
        <x:v>QA-37</x:v>
      </x:c>
      <x:c r="G125" s="46" t="str">
        <x:v>Source/isolated QA only; production, sharing, credentials and commercial approvals require accountable authorization.</x:v>
      </x:c>
    </x:row>
    <x:row r="126" ht="156" customHeight="1">
      <x:c r="A126" s="46" t="str">
        <x:v>LEG07</x:v>
      </x:c>
      <x:c r="B126" s="46" t="str">
        <x:v>Obtain current authoritative local advice for privacy, consumer terms, payments, rewards and supporter content before VitalO launch.</x:v>
      </x:c>
      <x:c r="C126" s="46" t="str">
        <x:v>Primary-law references and signed applicability decision, including unresolved items; not inferred from Rwanda rules.</x:v>
      </x:c>
      <x:c r="D126" s="46" t="str">
        <x:v>E03,E23,H01,R07,R15,R16,R17,R18,R21,R22</x:v>
      </x:c>
      <x:c r="E126" s="46" t="str">
        <x:v>https://drive.google.com/file/d/1W-wB0714GR2PtTb01XldFYbQcFhL_1AC/view
https://drive.google.com/file/d/17ycbTO5tfhGoKOFEnqrDMmIud2MmIQWJ/view</x:v>
      </x:c>
      <x:c r="F126" s="46" t="str">
        <x:v>QA-37</x:v>
      </x:c>
      <x:c r="G126" s="46" t="str">
        <x:v>Source/isolated QA only; production, sharing, credentials and commercial approvals require accountable authorization.</x:v>
      </x:c>
    </x:row>
    <x:row r="127" ht="156" customHeight="1">
      <x:c r="A127" s="46" t="str">
        <x:v>LEG08</x:v>
      </x:c>
      <x:c r="B127" s="46" t="str">
        <x:v>Obtain current authoritative local advice for AS Vita data, e-commerce, payments and reward mechanics, including cross-border service arrangements.</x:v>
      </x:c>
      <x:c r="C127" s="46" t="str">
        <x:v>Country-specific source-backed decision and implementation checklist with accountable owner.</x:v>
      </x:c>
      <x:c r="D127" s="46" t="str">
        <x:v>E03,E23,H01,R07,R15,R16,R17,R18,R21,R22</x:v>
      </x:c>
      <x:c r="E127" s="46" t="str">
        <x:v>https://drive.google.com/file/d/1W-wB0714GR2PtTb01XldFYbQcFhL_1AC/view
https://drive.google.com/file/d/17ycbTO5tfhGoKOFEnqrDMmIud2MmIQWJ/view</x:v>
      </x:c>
      <x:c r="F127" s="46" t="str">
        <x:v>QA-37</x:v>
      </x:c>
      <x:c r="G127" s="46" t="str">
        <x:v>Source/isolated QA only; production, sharing, credentials and commercial approvals require accountable authorization.</x:v>
      </x:c>
    </x:row>
    <x:row r="128" ht="156" customHeight="1">
      <x:c r="A128" s="46" t="str">
        <x:v>LEG09</x:v>
      </x:c>
      <x:c r="B128" s="46" t="str">
        <x:v>Review Costa do Sol privacy/consumer/payment obligations, publisher/merchant contracts and local customer communication.</x:v>
      </x:c>
      <x:c r="C128" s="46" t="str">
        <x:v>Country-specific primary-source/legal decision and launch restrictions, alongside verified club release inputs.</x:v>
      </x:c>
      <x:c r="D128" s="46" t="str">
        <x:v>E03,E23,H01,R07,R15,R16,R17,R18,R21,R22</x:v>
      </x:c>
      <x:c r="E128" s="46" t="str">
        <x:v>https://drive.google.com/file/d/1W-wB0714GR2PtTb01XldFYbQcFhL_1AC/view
https://drive.google.com/file/d/17ycbTO5tfhGoKOFEnqrDMmIud2MmIQWJ/view</x:v>
      </x:c>
      <x:c r="F128" s="46" t="str">
        <x:v>QA-37</x:v>
      </x:c>
      <x:c r="G128" s="46" t="str">
        <x:v>Source/isolated QA only; production, sharing, credentials and commercial approvals require accountable authorization.</x:v>
      </x:c>
    </x:row>
    <x:row r="129" ht="156" customHeight="1">
      <x:c r="A129" s="46" t="str">
        <x:v>LEG10</x:v>
      </x:c>
      <x:c r="B129" s="46" t="str">
        <x:v>Assess Apple template/content-provider rules and Google Play policies; identify approved publisher accounts and unique club functionality.</x:v>
      </x:c>
      <x:c r="C129" s="46" t="str">
        <x:v>Per-club store-owner authority and submission strategy; no automatic assumption a shared template is approved or prohibited.</x:v>
      </x:c>
      <x:c r="D129" s="46" t="str">
        <x:v>E03,E23,H01,R07,R15,R16,R17,R18,R21,R22</x:v>
      </x:c>
      <x:c r="E129" s="46" t="str">
        <x:v>https://drive.google.com/file/d/1W-wB0714GR2PtTb01XldFYbQcFhL_1AC/view
https://drive.google.com/file/d/17ycbTO5tfhGoKOFEnqrDMmIud2MmIQWJ/view</x:v>
      </x:c>
      <x:c r="F129" s="46" t="str">
        <x:v>QA-36</x:v>
      </x:c>
      <x:c r="G129" s="46" t="str">
        <x:v>Source/isolated QA only; production, sharing, credentials and commercial approvals require accountable authorization.</x:v>
      </x:c>
    </x:row>
    <x:row r="130" ht="156" customHeight="1">
      <x:c r="A130" s="46" t="str">
        <x:v>LEG11</x:v>
      </x:c>
      <x:c r="B130" s="46" t="str">
        <x:v>Match Data Safety/privacy labels, in-app rights routes, age/content ratings and SDK disclosures to actual compiled behavior.</x:v>
      </x:c>
      <x:c r="C130" s="46" t="str">
        <x:v>Signed artifact-to-declaration reconciliation, functioning deletion initiation/status and legally retained-data explanation.</x:v>
      </x:c>
      <x:c r="D130" s="46" t="str">
        <x:v>E03,E23,H01,R07,R15,R16,R17,R18,R21,R22</x:v>
      </x:c>
      <x:c r="E130" s="46" t="str">
        <x:v>https://drive.google.com/file/d/1W-wB0714GR2PtTb01XldFYbQcFhL_1AC/view
https://drive.google.com/file/d/17ycbTO5tfhGoKOFEnqrDMmIud2MmIQWJ/view</x:v>
      </x:c>
      <x:c r="F130" s="46" t="str">
        <x:v>QA-36</x:v>
      </x:c>
      <x:c r="G130" s="46" t="str">
        <x:v>Source/isolated QA only; production, sharing, credentials and commercial approvals require accountable authorization.</x:v>
      </x:c>
    </x:row>
    <x:row r="131" ht="156" customHeight="1">
      <x:c r="A131" s="46" t="str">
        <x:v>LEG12</x:v>
      </x:c>
      <x:c r="B131" s="46" t="str">
        <x:v>Review WhatsApp templates/consent, payment reconciliation, feed/media licences, subprocessors and incident responsibilities.</x:v>
      </x:c>
      <x:c r="C131" s="46" t="str">
        <x:v>Current approvals, scopes and provider test authorization; no successful mock treated as a provider contract.</x:v>
      </x:c>
      <x:c r="D131" s="46" t="str">
        <x:v>E03,E23,H01,R07,R15,R16,R17,R18,R21,R22</x:v>
      </x:c>
      <x:c r="E131" s="46" t="str">
        <x:v>https://drive.google.com/file/d/1W-wB0714GR2PtTb01XldFYbQcFhL_1AC/view
https://drive.google.com/file/d/17ycbTO5tfhGoKOFEnqrDMmIud2MmIQWJ/view</x:v>
      </x:c>
      <x:c r="F131" s="46" t="str">
        <x:v>QA-34</x:v>
      </x:c>
      <x:c r="G131" s="46" t="str">
        <x:v>Source/isolated QA only; production, sharing, credentials and commercial approvals require accountable authorization.</x:v>
      </x:c>
    </x:row>
    <x:row r="132" ht="156" customHeight="1">
      <x:c r="A132" s="46" t="str">
        <x:v>OPS01</x:v>
      </x:c>
      <x:c r="B132" s="46" t="str">
        <x:v>Define on-call, incident commander, escalation, business support and vendor contacts for each service and club.</x:v>
      </x:c>
      <x:c r="C132" s="46" t="str">
        <x:v>Named, reachable owners and a tested incident drill; no unowned queue or financial exception.</x:v>
      </x:c>
      <x:c r="D132" s="46" t="str">
        <x:v>E18,E19,E22,H01,H04,R05,R07,R09,R20</x:v>
      </x:c>
      <x:c r="E132" s="46" t="str">
        <x:v>https://drive.google.com/file/d/1ZMOX3aVmWujKCYV_YahrkQ5NPbFXuY7h/view
https://drive.google.com/file/d/11c2iijJkMgVqUIhC9JivYi8vxb5prAsr/view</x:v>
      </x:c>
      <x:c r="F132" s="46" t="str">
        <x:v>New audit requirement</x:v>
      </x:c>
      <x:c r="G132" s="46" t="str">
        <x:v>Source/isolated QA only; production, sharing, credentials and commercial approvals require accountable authorization.</x:v>
      </x:c>
    </x:row>
    <x:row r="133" ht="156" customHeight="1">
      <x:c r="A133" s="46" t="str">
        <x:v>OPS02</x:v>
      </x:c>
      <x:c r="B133" s="46" t="str">
        <x:v>Set product-specific availability, freshness, latency, payment confirmation and support objectives, using representative workloads.</x:v>
      </x:c>
      <x:c r="C133" s="46" t="str">
        <x:v>Signed budgets and measured baseline; error budgets, RTO/RPO and failure-mode tolerances distinct.</x:v>
      </x:c>
      <x:c r="D133" s="46" t="str">
        <x:v>E18,E19,E22,H01,H04,R05,R07,R09,R20</x:v>
      </x:c>
      <x:c r="E133" s="46" t="str">
        <x:v>https://drive.google.com/file/d/1ZMOX3aVmWujKCYV_YahrkQ5NPbFXuY7h/view
https://drive.google.com/file/d/11c2iijJkMgVqUIhC9JivYi8vxb5prAsr/view</x:v>
      </x:c>
      <x:c r="F133" s="46" t="str">
        <x:v>QA-28</x:v>
      </x:c>
      <x:c r="G133" s="46" t="str">
        <x:v>Source/isolated QA only; production, sharing, credentials and commercial approvals require accountable authorization.</x:v>
      </x:c>
    </x:row>
    <x:row r="134" ht="156" customHeight="1">
      <x:c r="A134" s="46" t="str">
        <x:v>OPS03</x:v>
      </x:c>
      <x:c r="B134" s="46" t="str">
        <x:v>Add redacted structured events, correlation IDs, metrics and actionable alerts; avoid raw OTP/phone/token/provider body logs.</x:v>
      </x:c>
      <x:c r="C134" s="46" t="str">
        <x:v>Test incidents produce useful alerts with no sensitive data; disabled observability configs deliberately resolved.</x:v>
      </x:c>
      <x:c r="D134" s="46" t="str">
        <x:v>E18,E19,E22,H01,H04,R05,R07,R09,R20</x:v>
      </x:c>
      <x:c r="E134" s="46" t="str">
        <x:v>https://drive.google.com/file/d/1ZMOX3aVmWujKCYV_YahrkQ5NPbFXuY7h/view
https://drive.google.com/file/d/11c2iijJkMgVqUIhC9JivYi8vxb5prAsr/view</x:v>
      </x:c>
      <x:c r="F134" s="46" t="str">
        <x:v>QA-29</x:v>
      </x:c>
      <x:c r="G134" s="46" t="str">
        <x:v>Source/isolated QA only; production, sharing, credentials and commercial approvals require accountable authorization.</x:v>
      </x:c>
    </x:row>
    <x:row r="135" ht="156" customHeight="1">
      <x:c r="A135" s="46" t="str">
        <x:v>OPS04</x:v>
      </x:c>
      <x:c r="B135" s="46" t="str">
        <x:v>Configure bounded retries, leases, poison-event queues, dashboards and auditable manual replay for all outbound effects.</x:v>
      </x:c>
      <x:c r="C135" s="46" t="str">
        <x:v>Duplicate, partial-effect and stuck-job tests recover without double execution or silent loss.</x:v>
      </x:c>
      <x:c r="D135" s="46" t="str">
        <x:v>E18,E19,E22,H01,H04,R05,R07,R09,R20</x:v>
      </x:c>
      <x:c r="E135" s="46" t="str">
        <x:v>https://drive.google.com/file/d/1ZMOX3aVmWujKCYV_YahrkQ5NPbFXuY7h/view
https://drive.google.com/file/d/11c2iijJkMgVqUIhC9JivYi8vxb5prAsr/view</x:v>
      </x:c>
      <x:c r="F135" s="46" t="str">
        <x:v>QA-08,QA-21,QA-29</x:v>
      </x:c>
      <x:c r="G135" s="46" t="str">
        <x:v>Source/isolated QA only; production, sharing, credentials and commercial approvals require accountable authorization.</x:v>
      </x:c>
    </x:row>
    <x:row r="136" ht="156" customHeight="1">
      <x:c r="A136" s="46" t="str">
        <x:v>OPS05</x:v>
      </x:c>
      <x:c r="B136" s="46" t="str">
        <x:v>Load test login bursts, fixtures, publication, payments, ticket gates and admin reports at approved realistic sizes.</x:v>
      </x:c>
      <x:c r="C136" s="46" t="str">
        <x:v>p95/p99 latency/error/cost evidence on target resources with planned safety margin; no invented throughput claims.</x:v>
      </x:c>
      <x:c r="D136" s="46" t="str">
        <x:v>E18,E19,E22,H01,H04,R05,R07,R09,R20</x:v>
      </x:c>
      <x:c r="E136" s="46" t="str">
        <x:v>https://drive.google.com/file/d/1ZMOX3aVmWujKCYV_YahrkQ5NPbFXuY7h/view
https://drive.google.com/file/d/11c2iijJkMgVqUIhC9JivYi8vxb5prAsr/view</x:v>
      </x:c>
      <x:c r="F136" s="46" t="str">
        <x:v>QA-28</x:v>
      </x:c>
      <x:c r="G136" s="46" t="str">
        <x:v>Source/isolated QA only; production, sharing, credentials and commercial approvals require accountable authorization.</x:v>
      </x:c>
    </x:row>
    <x:row r="137" ht="156" customHeight="1">
      <x:c r="A137" s="46" t="str">
        <x:v>OPS06</x:v>
      </x:c>
      <x:c r="B137" s="46" t="str">
        <x:v>Estimate and measure Workers/D1/R2/Queue/provider/CI costs under normal, peak and abusive traffic, with cost caps and quota alerts.</x:v>
      </x:c>
      <x:c r="C137" s="46" t="str">
        <x:v>Traceable units and scenario model, owner thresholds and tested quota failure UX; historical storage-quota failure not assumed current.</x:v>
      </x:c>
      <x:c r="D137" s="46" t="str">
        <x:v>E18,E19,E22,H01,H04,R05,R07,R09,R20</x:v>
      </x:c>
      <x:c r="E137" s="46" t="str">
        <x:v>https://drive.google.com/file/d/1ZMOX3aVmWujKCYV_YahrkQ5NPbFXuY7h/view
https://drive.google.com/file/d/11c2iijJkMgVqUIhC9JivYi8vxb5prAsr/view</x:v>
      </x:c>
      <x:c r="F137" s="46" t="str">
        <x:v>New audit requirement</x:v>
      </x:c>
      <x:c r="G137" s="46" t="str">
        <x:v>Source/isolated QA only; production, sharing, credentials and commercial approvals require accountable authorization.</x:v>
      </x:c>
    </x:row>
    <x:row r="138" ht="156" customHeight="1">
      <x:c r="A138" s="46" t="str">
        <x:v>OPS07</x:v>
      </x:c>
      <x:c r="B138" s="46" t="str">
        <x:v>Run service/database/media/key loss scenarios using protected backups and reconcile restored events and entitlements.</x:v>
      </x:c>
      <x:c r="C138" s="46" t="str">
        <x:v>Measured RTO/RPO and verified critical journeys on restored resources; no reliance solely on backup-file presence.</x:v>
      </x:c>
      <x:c r="D138" s="46" t="str">
        <x:v>E18,E19,E22,H01,H04,R05,R07,R09,R20</x:v>
      </x:c>
      <x:c r="E138" s="46" t="str">
        <x:v>https://drive.google.com/file/d/1ZMOX3aVmWujKCYV_YahrkQ5NPbFXuY7h/view
https://drive.google.com/file/d/11c2iijJkMgVqUIhC9JivYi8vxb5prAsr/view</x:v>
      </x:c>
      <x:c r="F138" s="46" t="str">
        <x:v>QA-29</x:v>
      </x:c>
      <x:c r="G138" s="46" t="str">
        <x:v>Source/isolated QA only; production, sharing, credentials and commercial approvals require accountable authorization.</x:v>
      </x:c>
    </x:row>
    <x:row r="139" ht="156" customHeight="1">
      <x:c r="A139" s="46" t="str">
        <x:v>OPS08</x:v>
      </x:c>
      <x:c r="B139" s="46" t="str">
        <x:v>Define approved isolated resource IDs, service-binding exclusivity, domains/TLS/WAF/CORS/caches/secrets and environment drift checks.</x:v>
      </x:c>
      <x:c r="C139" s="46" t="str">
        <x:v>Config and actual-resource readback agree; no placeholder, dev Access bypass or unintended public private Worker.</x:v>
      </x:c>
      <x:c r="D139" s="46" t="str">
        <x:v>E18,E19,E22,H01,H04,R05,R07,R09,R20</x:v>
      </x:c>
      <x:c r="E139" s="46" t="str">
        <x:v>https://drive.google.com/file/d/1ZMOX3aVmWujKCYV_YahrkQ5NPbFXuY7h/view
https://drive.google.com/file/d/11c2iijJkMgVqUIhC9JivYi8vxb5prAsr/view</x:v>
      </x:c>
      <x:c r="F139" s="46" t="str">
        <x:v>QA-37</x:v>
      </x:c>
      <x:c r="G139" s="46" t="str">
        <x:v>Source/isolated QA only; production, sharing, credentials and commercial approvals require accountable authorization.</x:v>
      </x:c>
    </x:row>
    <x:row r="140" ht="156" customHeight="1">
      <x:c r="A140" s="46" t="str">
        <x:v>OPS09</x:v>
      </x:c>
      <x:c r="B140" s="46" t="str">
        <x:v>Perform an authorized independent threat-based review and targeted penetration tests on the assembled candidate.</x:v>
      </x:c>
      <x:c r="C140" s="46" t="str">
        <x:v>No unresolved exploitable critical/high finding in release scope; evidence is current and remediation retested.</x:v>
      </x:c>
      <x:c r="D140" s="46" t="str">
        <x:v>E18,E19,E22,H01,H04,R05,R07,R09,R20</x:v>
      </x:c>
      <x:c r="E140" s="46" t="str">
        <x:v>https://drive.google.com/file/d/1ZMOX3aVmWujKCYV_YahrkQ5NPbFXuY7h/view
https://drive.google.com/file/d/11c2iijJkMgVqUIhC9JivYi8vxb5prAsr/view</x:v>
      </x:c>
      <x:c r="F140" s="46" t="str">
        <x:v>New audit requirement</x:v>
      </x:c>
      <x:c r="G140" s="46" t="str">
        <x:v>Source/isolated QA only; production, sharing, credentials and commercial approvals require accountable authorization.</x:v>
      </x:c>
    </x:row>
    <x:row r="141" ht="156" customHeight="1">
      <x:c r="A141" s="46" t="str">
        <x:v>OPS10</x:v>
      </x:c>
      <x:c r="B141" s="46" t="str">
        <x:v>Test unknown payment, locked account, missing ticket, media withdrawal and recovery requests with visible audit/escalation paths.</x:v>
      </x:c>
      <x:c r="C141" s="46" t="str">
        <x:v>Support staff resolve scenarios without direct ledger deletion, identity spoofing or unapproved refunds.</x:v>
      </x:c>
      <x:c r="D141" s="46" t="str">
        <x:v>E18,E19,E22,H01,H04,R05,R07,R09,R20</x:v>
      </x:c>
      <x:c r="E141" s="46" t="str">
        <x:v>https://drive.google.com/file/d/1ZMOX3aVmWujKCYV_YahrkQ5NPbFXuY7h/view
https://drive.google.com/file/d/11c2iijJkMgVqUIhC9JivYi8vxb5prAsr/view</x:v>
      </x:c>
      <x:c r="F141" s="46" t="str">
        <x:v>QA-29</x:v>
      </x:c>
      <x:c r="G141" s="46" t="str">
        <x:v>Source/isolated QA only; production, sharing, credentials and commercial approvals require accountable authorization.</x:v>
      </x:c>
    </x:row>
    <x:row r="142" ht="156" customHeight="1">
      <x:c r="A142" s="46" t="str">
        <x:v>REL01</x:v>
      </x:c>
      <x:c r="B142" s="46" t="str">
        <x:v>Approve one club and a coherent initial feature set; keep unfinished money/Predict/shop/ticket capabilities unavailable at API and UI.</x:v>
      </x:c>
      <x:c r="C142" s="46" t="str">
        <x:v>Named scope/host/platform/features with consistent guards; feature postponement explicitly approved rather than called full completion.</x:v>
      </x:c>
      <x:c r="D142" s="46" t="str">
        <x:v>E04,E05,E24,E25,H01,H04,R02,R03</x:v>
      </x:c>
      <x:c r="E142" s="46" t="str">
        <x:v>https://drive.google.com/file/d/1GcYfaSWxQqQBw2OMLoX1Q_qZCWPd5-wT/view
https://drive.google.com/file/d/1tMWvEOR1NtOKeLcOzacrMepubzmxr_If/view</x:v>
      </x:c>
      <x:c r="F142" s="46" t="str">
        <x:v>QA-37</x:v>
      </x:c>
      <x:c r="G142" s="46" t="str">
        <x:v>Source/isolated QA only; production, sharing, credentials and commercial approvals require accountable authorization.</x:v>
      </x:c>
    </x:row>
    <x:row r="143" ht="156" customHeight="1">
      <x:c r="A143" s="46" t="str">
        <x:v>REL02</x:v>
      </x:c>
      <x:c r="B143" s="46" t="str">
        <x:v>Freeze a reviewed commit, configurations and migrations and invalidate evidence whenever material input hashes change.</x:v>
      </x:c>
      <x:c r="C143" s="46" t="str">
        <x:v>One release manifest links every deployed/installed artifact to required test evidence.</x:v>
      </x:c>
      <x:c r="D143" s="46" t="str">
        <x:v>E04,E05,E24,E25,H01,H04,R02,R03</x:v>
      </x:c>
      <x:c r="E143" s="46" t="str">
        <x:v>https://drive.google.com/file/d/1GcYfaSWxQqQBw2OMLoX1Q_qZCWPd5-wT/view
https://drive.google.com/file/d/1tMWvEOR1NtOKeLcOzacrMepubzmxr_If/view</x:v>
      </x:c>
      <x:c r="F143" s="46" t="str">
        <x:v>QA-04,QA-31</x:v>
      </x:c>
      <x:c r="G143" s="46" t="str">
        <x:v>Source/isolated QA only; production, sharing, credentials and commercial approvals require accountable authorization.</x:v>
      </x:c>
    </x:row>
    <x:row r="144" ht="156" customHeight="1">
      <x:c r="A144" s="46" t="str">
        <x:v>REL03</x:v>
      </x:c>
      <x:c r="B144" s="46" t="str">
        <x:v>Revalidate applicable original 37 tasks on the final candidate; map expanded tasks and documented exclusions without losing historical closures.</x:v>
      </x:c>
      <x:c r="C144" s="46" t="str">
        <x:v>No unexplained unchecked item; three historical checked tasks have appropriate current regression evidence.</x:v>
      </x:c>
      <x:c r="D144" s="46" t="str">
        <x:v>E04,E05,E24,E25,H01,H04,R02,R03</x:v>
      </x:c>
      <x:c r="E144" s="46" t="str">
        <x:v>https://drive.google.com/file/d/1GcYfaSWxQqQBw2OMLoX1Q_qZCWPd5-wT/view
https://drive.google.com/file/d/1tMWvEOR1NtOKeLcOzacrMepubzmxr_If/view</x:v>
      </x:c>
      <x:c r="F144" s="46" t="str">
        <x:v>QA-31</x:v>
      </x:c>
      <x:c r="G144" s="46" t="str">
        <x:v>Source/isolated QA only; production, sharing, credentials and commercial approvals require accountable authorization.</x:v>
      </x:c>
    </x:row>
    <x:row r="145" ht="156" customHeight="1">
      <x:c r="A145" s="46" t="str">
        <x:v>REL04</x:v>
      </x:c>
      <x:c r="B145" s="46" t="str">
        <x:v>Populate the real release sign-off with accountable security, finance, data, product, operations and platform decisions.</x:v>
      </x:c>
      <x:c r="C145" s="46" t="str">
        <x:v>Approvers review actual evidence and remaining risks; no self-certification based on aggregate test totals.</x:v>
      </x:c>
      <x:c r="D145" s="46" t="str">
        <x:v>E04,E05,E24,E25,H01,H04,R02,R03</x:v>
      </x:c>
      <x:c r="E145" s="46" t="str">
        <x:v>https://drive.google.com/file/d/1GcYfaSWxQqQBw2OMLoX1Q_qZCWPd5-wT/view
https://drive.google.com/file/d/1tMWvEOR1NtOKeLcOzacrMepubzmxr_If/view</x:v>
      </x:c>
      <x:c r="F145" s="46" t="str">
        <x:v>QA-37</x:v>
      </x:c>
      <x:c r="G145" s="46" t="str">
        <x:v>Source/isolated QA only; production, sharing, credentials and commercial approvals require accountable authorization.</x:v>
      </x:c>
    </x:row>
    <x:row r="146" ht="156" customHeight="1">
      <x:c r="A146" s="46" t="str">
        <x:v>REL05</x:v>
      </x:c>
      <x:c r="B146" s="46" t="str">
        <x:v>Rehearse cutover on an isolated restored snapshot: fence writes, import/delta, reconcile, smoke-test and rollback boundaries.</x:v>
      </x:c>
      <x:c r="C146" s="46" t="str">
        <x:v>Reproducible rehearsal meets RTO/RPO, no lost/duplicated payment effects and exact configuration/artifact match.</x:v>
      </x:c>
      <x:c r="D146" s="46" t="str">
        <x:v>E04,E05,E24,E25,H01,H04,R02,R03</x:v>
      </x:c>
      <x:c r="E146" s="46" t="str">
        <x:v>https://drive.google.com/file/d/1GcYfaSWxQqQBw2OMLoX1Q_qZCWPd5-wT/view
https://drive.google.com/file/d/1tMWvEOR1NtOKeLcOzacrMepubzmxr_If/view</x:v>
      </x:c>
      <x:c r="F146" s="46" t="str">
        <x:v>QA-37</x:v>
      </x:c>
      <x:c r="G146" s="46" t="str">
        <x:v>Source/isolated QA only; production, sharing, credentials and commercial approvals require accountable authorization.</x:v>
      </x:c>
    </x:row>
    <x:row r="147" ht="156" customHeight="1">
      <x:c r="A147" s="46" t="str">
        <x:v>REL06</x:v>
      </x:c>
      <x:c r="B147" s="46" t="str">
        <x:v>Only after separate authorization, switch the authoritative writer with controlled traffic and old-client handling.</x:v>
      </x:c>
      <x:c r="C147" s="46" t="str">
        <x:v>Actual change receipt, pre/post balances/claims/entitlements and immediate smoke/monitoring results.</x:v>
      </x:c>
      <x:c r="D147" s="46" t="str">
        <x:v>E04,E05,E24,E25,H01,H04,R02,R03</x:v>
      </x:c>
      <x:c r="E147" s="46" t="str">
        <x:v>https://drive.google.com/file/d/1GcYfaSWxQqQBw2OMLoX1Q_qZCWPd5-wT/view
https://drive.google.com/file/d/1tMWvEOR1NtOKeLcOzacrMepubzmxr_If/view</x:v>
      </x:c>
      <x:c r="F147" s="46" t="str">
        <x:v>QA-37</x:v>
      </x:c>
      <x:c r="G147" s="46" t="str">
        <x:v>Source/isolated QA only; production, sharing, credentials and commercial approvals require accountable authorization.</x:v>
      </x:c>
    </x:row>
    <x:row r="148" ht="156" customHeight="1">
      <x:c r="A148" s="46" t="str">
        <x:v>REL07</x:v>
      </x:c>
      <x:c r="B148" s="46" t="str">
        <x:v>Run an approved observation window covering real match-day/renewal/job activity and customer support without hidden rollback divergence.</x:v>
      </x:c>
      <x:c r="C148" s="46" t="str">
        <x:v>SLOs, reconciliation, incidents and exception queues reviewed; no unresolved critical/high release defect.</x:v>
      </x:c>
      <x:c r="D148" s="46" t="str">
        <x:v>E04,E05,E24,E25,H01,H04,R02,R03</x:v>
      </x:c>
      <x:c r="E148" s="46" t="str">
        <x:v>https://drive.google.com/file/d/1GcYfaSWxQqQBw2OMLoX1Q_qZCWPd5-wT/view
https://drive.google.com/file/d/1tMWvEOR1NtOKeLcOzacrMepubzmxr_If/view</x:v>
      </x:c>
      <x:c r="F148" s="46" t="str">
        <x:v>QA-37</x:v>
      </x:c>
      <x:c r="G148" s="46" t="str">
        <x:v>Source/isolated QA only; production, sharing, credentials and commercial approvals require accountable authorization.</x:v>
      </x:c>
    </x:row>
    <x:row r="149" ht="156" customHeight="1">
      <x:c r="A149" s="46" t="str">
        <x:v>REL08</x:v>
      </x:c>
      <x:c r="B149" s="46" t="str">
        <x:v>Apply the accepted baseline but verify each club publisher, identity, merchant, content, platform and legal differences.</x:v>
      </x:c>
      <x:c r="C149" s="46" t="str">
        <x:v>Per-club sign-off and native/public/admin acceptance; shared tests reused only for proven invariant scope.</x:v>
      </x:c>
      <x:c r="D149" s="46" t="str">
        <x:v>E04,E05,E24,E25,H01,H04,R02,R03</x:v>
      </x:c>
      <x:c r="E149" s="46" t="str">
        <x:v>https://drive.google.com/file/d/1GcYfaSWxQqQBw2OMLoX1Q_qZCWPd5-wT/view
https://drive.google.com/file/d/1tMWvEOR1NtOKeLcOzacrMepubzmxr_If/view</x:v>
      </x:c>
      <x:c r="F149" s="46" t="str">
        <x:v>QA-37</x:v>
      </x:c>
      <x:c r="G149" s="46" t="str">
        <x:v>Source/isolated QA only; production, sharing, credentials and commercial approvals require accountable authorization.</x:v>
      </x:c>
    </x:row>
    <x:row r="150" ht="156" customHeight="1">
      <x:c r="A150" s="46" t="str">
        <x:v>REL09</x:v>
      </x:c>
      <x:c r="B150" s="46" t="str">
        <x:v>Revoke old runtime credentials/jobs/functions only after consumers and retained records are reconciled, backups restorable and approval recorded.</x:v>
      </x:c>
      <x:c r="C150" s="46" t="str">
        <x:v>No remaining required legacy caller or pending effect; protected archives and approved disposal receipt.</x:v>
      </x:c>
      <x:c r="D150" s="46" t="str">
        <x:v>E04,E05,E24,E25,H01,H04,R02,R03</x:v>
      </x:c>
      <x:c r="E150" s="46" t="str">
        <x:v>https://drive.google.com/file/d/1GcYfaSWxQqQBw2OMLoX1Q_qZCWPd5-wT/view
https://drive.google.com/file/d/1tMWvEOR1NtOKeLcOzacrMepubzmxr_If/view</x:v>
      </x:c>
      <x:c r="F150" s="46" t="str">
        <x:v>QA-37</x:v>
      </x:c>
      <x:c r="G150" s="46" t="str">
        <x:v>Source/isolated QA only; production, sharing, credentials and commercial approvals require accountable authorization.</x:v>
      </x:c>
    </x:row>
    <x:row r="151" ht="156" customHeight="1">
      <x:c r="A151" s="46" t="str">
        <x:v>REL10</x:v>
      </x:c>
      <x:c r="B151" s="46" t="str">
        <x:v>Schedule owner-driven dependency review, access recertification, restore drills, provider/policy checks and regression releases.</x:v>
      </x:c>
      <x:c r="C151" s="46" t="str">
        <x:v>Documented frequencies, accountable owners and evidence retention; this task register itself does not schedule automations.</x:v>
      </x:c>
      <x:c r="D151" s="46" t="str">
        <x:v>E04,E05,E24,E25,H01,H04,R02,R03</x:v>
      </x:c>
      <x:c r="E151" s="46" t="str">
        <x:v>https://drive.google.com/file/d/1GcYfaSWxQqQBw2OMLoX1Q_qZCWPd5-wT/view
https://drive.google.com/file/d/1tMWvEOR1NtOKeLcOzacrMepubzmxr_If/view</x:v>
      </x:c>
      <x:c r="F151" s="46" t="str">
        <x:v>QA-37</x:v>
      </x:c>
      <x:c r="G151" s="46" t="str">
        <x:v>Source/isolated QA only; production, sharing, credentials and commercial approvals require accountable authorization.</x:v>
      </x:c>
    </x:row>
  </x:sheetData>
  <x:mergeCells>
    <x:mergeCell ref="A1:G1"/>
  </x:mergeCells>
  <x:pageMargins left="0.7" right="0.7" top="0.75" bottom="0.75" header="0.3" footer="0.3"/>
  <x:tableParts count="1">
    <x:tablePart xmlns:r="http://schemas.openxmlformats.org/officeDocument/2006/relationships" r:id="Rd605410a86ec49ff"/>
  </x:tableParts>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37" hidden="0" customWidth="1"/>
    <x:col min="4" max="4" width="28" hidden="0" customWidth="1"/>
    <x:col min="5" max="5" width="40" hidden="0" customWidth="1"/>
    <x:col min="6" max="6" width="40" hidden="0" customWidth="1"/>
    <x:col min="7" max="7" width="28" hidden="0" customWidth="1"/>
    <x:col min="8" max="8" width="25" hidden="0" customWidth="1"/>
  </x:cols>
  <x:sheetData>
    <x:row r="1" ht="32" customHeight="1">
      <x:c r="A1" s="39" t="str">
        <x:v>20 findings | observations separated from proof limits</x:v>
      </x:c>
      <x:c r="B1" s="39"/>
      <x:c r="C1" s="39"/>
      <x:c r="D1" s="39"/>
      <x:c r="E1" s="39"/>
      <x:c r="F1" s="39"/>
      <x:c r="G1" s="39"/>
      <x:c r="H1" s="39"/>
    </x:row>
    <x:row r="3" ht="30" customHeight="1">
      <x:c r="A3" s="43" t="str">
        <x:v>ID</x:v>
      </x:c>
      <x:c r="B3" s="43" t="str">
        <x:v>Priority</x:v>
      </x:c>
      <x:c r="C3" s="43" t="str">
        <x:v>Finding</x:v>
      </x:c>
      <x:c r="D3" s="43" t="str">
        <x:v>Evidence basis</x:v>
      </x:c>
      <x:c r="E3" s="43" t="str">
        <x:v>Observation / limit</x:v>
      </x:c>
      <x:c r="F3" s="43" t="str">
        <x:v>Required response</x:v>
      </x:c>
      <x:c r="G3" s="43" t="str">
        <x:v>Task IDs</x:v>
      </x:c>
      <x:c r="H3" s="43" t="str">
        <x:v>Source IDs</x:v>
      </x:c>
    </x:row>
    <x:row r="4" ht="130" customHeight="1">
      <x:c r="A4" s="46" t="str">
        <x:v>F01</x:v>
      </x:c>
      <x:c r="B4" s="46" t="str">
        <x:v>P0</x:v>
      </x:c>
      <x:c r="C4" s="46" t="str">
        <x:v>Anonymous write and sensitive artifacts</x:v>
      </x:c>
      <x:c r="D4" s="46" t="str">
        <x:v>Fresh metadata</x:v>
      </x:c>
      <x:c r="E4" s="46" t="str">
        <x:v>Root plus .env.local and upload keystore show anyone/writer. Contents/active keys and compromise not inspected.</x:v>
      </x:c>
      <x:c r="F4" s="46" t="str">
        <x:v>Potential disclosure and code/evidence tampering; contain and investigate.</x:v>
      </x:c>
      <x:c r="G4" s="46" t="str">
        <x:v>SEC01-SEC08</x:v>
      </x:c>
      <x:c r="H4" s="46" t="str">
        <x:v>E01,R01,R15</x:v>
      </x:c>
    </x:row>
    <x:row r="5" ht="130" customHeight="1">
      <x:c r="A5" s="46" t="str">
        <x:v>F02</x:v>
      </x:c>
      <x:c r="B5" s="46" t="str">
        <x:v>P0</x:v>
      </x:c>
      <x:c r="C5" s="46" t="str">
        <x:v>Trusted source not established</x:v>
      </x:c>
      <x:c r="D5" s="46" t="str">
        <x:v>Assessment from metadata + source structure</x:v>
      </x:c>
      <x:c r="E5" s="46" t="str">
        <x:v>Mutable source, revised copies and co-located manifests cannot establish independent provenance.</x:v>
      </x:c>
      <x:c r="F5" s="46" t="str">
        <x:v>Recover clean trusted Git/ref before release builds.</x:v>
      </x:c>
      <x:c r="G5" s="46" t="str">
        <x:v>SRC01-SRC03</x:v>
      </x:c>
      <x:c r="H5" s="46" t="str">
        <x:v>E01,E02,E28,E29</x:v>
      </x:c>
    </x:row>
    <x:row r="6" ht="130" customHeight="1">
      <x:c r="A6" s="46" t="str">
        <x:v>F03</x:v>
      </x:c>
      <x:c r="B6" s="46" t="str">
        <x:v>P1</x:v>
      </x:c>
      <x:c r="C6" s="46" t="str">
        <x:v>Legacy public reader still selected</x:v>
      </x:c>
      <x:c r="D6" s="46" t="str">
        <x:v>Current source + configuration</x:v>
      </x:c>
      <x:c r="E6" s="46" t="str">
        <x:v>Configured entrypoint reads source_records despite newer snapshot candidates.</x:v>
      </x:c>
      <x:c r="F6" s="46" t="str">
        <x:v>Integrate the actual reader/import/publisher/schema.</x:v>
      </x:c>
      <x:c r="G6" s="46" t="str">
        <x:v>SRC04,PUB02</x:v>
      </x:c>
      <x:c r="H6" s="46" t="str">
        <x:v>E13,E14</x:v>
      </x:c>
    </x:row>
    <x:row r="7" ht="130" customHeight="1">
      <x:c r="A7" s="46" t="str">
        <x:v>F04</x:v>
      </x:c>
      <x:c r="B7" s="46" t="str">
        <x:v>P1</x:v>
      </x:c>
      <x:c r="C7" s="46" t="str">
        <x:v>Public freshness and media gaps</x:v>
      </x:c>
      <x:c r="D7" s="46" t="str">
        <x:v>Fresh isolated reproduction</x:v>
      </x:c>
      <x:c r="E7" s="46" t="str">
        <x:v>Global MAX timestamp accepts mixed freshness; media bypasses freshness and only verifies size.</x:v>
      </x:c>
      <x:c r="F7" s="46" t="str">
        <x:v>Bind complete snapshots and verify served media integrity.</x:v>
      </x:c>
      <x:c r="G7" s="46" t="str">
        <x:v>PUB02-PUB04</x:v>
      </x:c>
      <x:c r="H7" s="46" t="str">
        <x:v>E13,X01</x:v>
      </x:c>
    </x:row>
    <x:row r="8" ht="130" customHeight="1">
      <x:c r="A8" s="46" t="str">
        <x:v>F05</x:v>
      </x:c>
      <x:c r="B8" s="46" t="str">
        <x:v>P1</x:v>
      </x:c>
      <x:c r="C8" s="46" t="str">
        <x:v>Console contract and files inconsistent</x:v>
      </x:c>
      <x:c r="D8" s="46" t="str">
        <x:v>Current source + scoped listings</x:v>
      </x:c>
      <x:c r="E8" s="46" t="str">
        <x:v>Required console worker/config absent; handler session call missing from named publisher wrapper.</x:v>
      </x:c>
      <x:c r="F8" s="46" t="str">
        <x:v>Converge selected contracts and prove real console journey.</x:v>
      </x:c>
      <x:c r="G8" s="46" t="str">
        <x:v>SRC05,PUB05</x:v>
      </x:c>
      <x:c r="H8" s="46" t="str">
        <x:v>E15,E16,E17,E29</x:v>
      </x:c>
    </x:row>
    <x:row r="9" ht="130" customHeight="1">
      <x:c r="A9" s="46" t="str">
        <x:v>F06</x:v>
      </x:c>
      <x:c r="B9" s="46" t="str">
        <x:v>P1</x:v>
      </x:c>
      <x:c r="C9" s="46" t="str">
        <x:v>Original boundary validator still conflicts</x:v>
      </x:c>
      <x:c r="D9" s="46" t="str">
        <x:v>Fresh isolated reproduction</x:v>
      </x:c>
      <x:c r="E9" s="46" t="str">
        <x:v>Two exact migration documents rejected; separate exception registry not consumed.</x:v>
      </x:c>
      <x:c r="F9" s="46" t="str">
        <x:v>Correct canonical scanner without loosening runtime boundaries.</x:v>
      </x:c>
      <x:c r="G9" s="46" t="str">
        <x:v>SRC06</x:v>
      </x:c>
      <x:c r="H9" s="46" t="str">
        <x:v>E11,E12,X02</x:v>
      </x:c>
    </x:row>
    <x:row r="10" ht="130" customHeight="1">
      <x:c r="A10" s="46" t="str">
        <x:v>F07</x:v>
      </x:c>
      <x:c r="B10" s="46" t="str">
        <x:v>P1</x:v>
      </x:c>
      <x:c r="C10" s="46" t="str">
        <x:v>Deployment lacks demonstrated typecheck gate</x:v>
      </x:c>
      <x:c r="D10" s="46" t="str">
        <x:v>Current static source</x:v>
      </x:c>
      <x:c r="E10" s="46" t="str">
        <x:v>Direct deploy flow plus ignoreBuildErrors; external protections not verified.</x:v>
      </x:c>
      <x:c r="F10" s="46" t="str">
        <x:v>Couple all deployments to exact successful candidate checks.</x:v>
      </x:c>
      <x:c r="G10" s="46" t="str">
        <x:v>CI01-CI05</x:v>
      </x:c>
      <x:c r="H10" s="46" t="str">
        <x:v>E06,E07,E08,E31,X03</x:v>
      </x:c>
    </x:row>
    <x:row r="11" ht="130" customHeight="1">
      <x:c r="A11" s="46" t="str">
        <x:v>F08</x:v>
      </x:c>
      <x:c r="B11" s="46" t="str">
        <x:v>P1</x:v>
      </x:c>
      <x:c r="C11" s="46" t="str">
        <x:v>New candidate suites not visibly in main CI</x:v>
      </x:c>
      <x:c r="D11" s="46" t="str">
        <x:v>Current static source</x:v>
      </x:c>
      <x:c r="E11" s="46" t="str">
        <x:v>Main workflow lacks explicit candidate-module/host suite references and all-club artifact matrix.</x:v>
      </x:c>
      <x:c r="F11" s="46" t="str">
        <x:v>Add source-bound target-runtime CI coverage.</x:v>
      </x:c>
      <x:c r="G11" s="46" t="str">
        <x:v>CI05,CI06,CI10</x:v>
      </x:c>
      <x:c r="H11" s="46" t="str">
        <x:v>E06,X03</x:v>
      </x:c>
    </x:row>
    <x:row r="12" ht="130" customHeight="1">
      <x:c r="A12" s="46" t="str">
        <x:v>F09</x:v>
      </x:c>
      <x:c r="B12" s="46" t="str">
        <x:v>P1</x:v>
      </x:c>
      <x:c r="C12" s="46" t="str">
        <x:v>No final evidence or sign-off denominator</x:v>
      </x:c>
      <x:c r="D12" s="46" t="str">
        <x:v>Current registers + reported QA</x:v>
      </x:c>
      <x:c r="E12" s="46" t="str">
        <x:v>Central route cells and bundles empty; sign-off blank; 34 of 37 source QA tasks unchecked.</x:v>
      </x:c>
      <x:c r="F12" s="46" t="str">
        <x:v>Reconcile case inventory and current candidate decisions.</x:v>
      </x:c>
      <x:c r="G12" s="46" t="str">
        <x:v>UX07,REL02-REL04</x:v>
      </x:c>
      <x:c r="H12" s="46" t="str">
        <x:v>E04,E05,E24,E25</x:v>
      </x:c>
    </x:row>
    <x:row r="13" ht="130" customHeight="1">
      <x:c r="A13" s="46" t="str">
        <x:v>F10</x:v>
      </x:c>
      <x:c r="B13" s="46" t="str">
        <x:v>P1</x:v>
      </x:c>
      <x:c r="C13" s="46" t="str">
        <x:v>Identity and financial authorization span databases</x:v>
      </x:c>
      <x:c r="D13" s="46" t="str">
        <x:v>Explicit current documentation</x:v>
      </x:c>
      <x:c r="E13" s="46" t="str">
        <x:v>Gateway rechecks cannot atomically revoke an already committed checkout.</x:v>
      </x:c>
      <x:c r="F13" s="46" t="str">
        <x:v>Define and test operation-specific authorization/unknown semantics.</x:v>
      </x:c>
      <x:c r="G13" s="46" t="str">
        <x:v>AUT07,AUT12</x:v>
      </x:c>
      <x:c r="H13" s="46" t="str">
        <x:v>E18,R06</x:v>
      </x:c>
    </x:row>
    <x:row r="14" ht="130" customHeight="1">
      <x:c r="A14" s="46" t="str">
        <x:v>F11</x:v>
      </x:c>
      <x:c r="B14" s="46" t="str">
        <x:v>P1</x:v>
      </x:c>
      <x:c r="C14" s="46" t="str">
        <x:v>Provider evidence boundary incomplete</x:v>
      </x:c>
      <x:c r="D14" s="46" t="str">
        <x:v>Explicit source limitation</x:v>
      </x:c>
      <x:c r="E14" s="46" t="str">
        <x:v>Private parsed evidence/hash is not actual settlement proof; authentic ingress remains required.</x:v>
      </x:c>
      <x:c r="F14" s="46" t="str">
        <x:v>Implement trusted management/provider/reconciler boundary.</x:v>
      </x:c>
      <x:c r="G14" s="46" t="str">
        <x:v>PAY01,PAY10</x:v>
      </x:c>
      <x:c r="H14" s="46" t="str">
        <x:v>E04,E19</x:v>
      </x:c>
    </x:row>
    <x:row r="15" ht="130" customHeight="1">
      <x:c r="A15" s="46" t="str">
        <x:v>F12</x:v>
      </x:c>
      <x:c r="B15" s="46" t="str">
        <x:v>P1</x:v>
      </x:c>
      <x:c r="C15" s="46" t="str">
        <x:v>Financial fulfillment and exceptions unfinished</x:v>
      </x:c>
      <x:c r="D15" s="46" t="str">
        <x:v>Explicit current module scope</x:v>
      </x:c>
      <x:c r="E15" s="46" t="str">
        <x:v>Contribution totals/rewards/referrals, refunds and other domains remain incomplete; outbox lacks final consumers.</x:v>
      </x:c>
      <x:c r="F15" s="46" t="str">
        <x:v>Finish enabled domains, reconciliation, late/unknown outcomes and compensation.</x:v>
      </x:c>
      <x:c r="G15" s="46" t="str">
        <x:v>PAY05-PAY12,DOM01-DOM10</x:v>
      </x:c>
      <x:c r="H15" s="46" t="str">
        <x:v>E19,R09</x:v>
      </x:c>
    </x:row>
    <x:row r="16" ht="130" customHeight="1">
      <x:c r="A16" s="46" t="str">
        <x:v>F13</x:v>
      </x:c>
      <x:c r="B16" s="46" t="str">
        <x:v>P1</x:v>
      </x:c>
      <x:c r="C16" s="46" t="str">
        <x:v>Native code is not an installed verified app</x:v>
      </x:c>
      <x:c r="D16" s="46" t="str">
        <x:v>Current runbook + scoped listing</x:v>
      </x:c>
      <x:c r="E16" s="46" t="str">
        <x:v>Android host unregistered/uncompiled; iOS absent from intended source folder.</x:v>
      </x:c>
      <x:c r="F16" s="46" t="str">
        <x:v>Integrate source and validate actual SDK/device builds.</x:v>
      </x:c>
      <x:c r="G16" s="46" t="str">
        <x:v>NAT01-NAT04</x:v>
      </x:c>
      <x:c r="H16" s="46" t="str">
        <x:v>E22,E28</x:v>
      </x:c>
    </x:row>
    <x:row r="17" ht="130" customHeight="1">
      <x:c r="A17" s="46" t="str">
        <x:v>F14</x:v>
      </x:c>
      <x:c r="B17" s="46" t="str">
        <x:v>P1</x:v>
      </x:c>
      <x:c r="C17" s="46" t="str">
        <x:v>iOS USSD compatibility is unproven</x:v>
      </x:c>
      <x:c r="D17" s="46" t="str">
        <x:v>Current code + archived Apple guidance</x:v>
      </x:c>
      <x:c r="E17" s="46" t="str">
        <x:v>Bridge tries tel star/hash on iOS; Apple documents restriction. No new device test performed.</x:v>
      </x:c>
      <x:c r="F17" s="46" t="str">
        <x:v>Verify supported path and explicit alternative; never infer payment success.</x:v>
      </x:c>
      <x:c r="G17" s="46" t="str">
        <x:v>NAT05,NAT06</x:v>
      </x:c>
      <x:c r="H17" s="46" t="str">
        <x:v>E21,R14</x:v>
      </x:c>
    </x:row>
    <x:row r="18" ht="130" customHeight="1">
      <x:c r="A18" s="46" t="str">
        <x:v>F15</x:v>
      </x:c>
      <x:c r="B18" s="46" t="str">
        <x:v>P1</x:v>
      </x:c>
      <x:c r="C18" s="46" t="str">
        <x:v>Lost-state and credential storage not complete</x:v>
      </x:c>
      <x:c r="D18" s="46" t="str">
        <x:v>Explicit current module scope</x:v>
      </x:c>
      <x:c r="E18" s="46" t="str">
        <x:v>Recovery markers do not protect tokens or resolve reinstall/new-device payment uncertainty.</x:v>
      </x:c>
      <x:c r="F18" s="46" t="str">
        <x:v>Separate protected credentials and server-authoritative recovery.</x:v>
      </x:c>
      <x:c r="G18" s="46" t="str">
        <x:v>AUT02,PAY05,NAT08</x:v>
      </x:c>
      <x:c r="H18" s="46" t="str">
        <x:v>E18,E22</x:v>
      </x:c>
    </x:row>
    <x:row r="19" ht="130" customHeight="1">
      <x:c r="A19" s="46" t="str">
        <x:v>F16</x:v>
      </x:c>
      <x:c r="B19" s="46" t="str">
        <x:v>P1</x:v>
      </x:c>
      <x:c r="C19" s="46" t="str">
        <x:v>Migration inventory and retirement map incomplete</x:v>
      </x:c>
      <x:c r="D19" s="46" t="str">
        <x:v>Current CSV + dated source inventory</x:v>
      </x:c>
      <x:c r="E19" s="46" t="str">
        <x:v>Seven aggregate dispositions versus hundreds of source objects; deployed/local functions differ.</x:v>
      </x:c>
      <x:c r="F19" s="46" t="str">
        <x:v>Refresh and approve every object, caller and replacement contract.</x:v>
      </x:c>
      <x:c r="G19" s="46" t="str">
        <x:v>DAT01-DAT07</x:v>
      </x:c>
      <x:c r="H19" s="46" t="str">
        <x:v>E27,H01,H02</x:v>
      </x:c>
    </x:row>
    <x:row r="20" ht="130" customHeight="1">
      <x:c r="A20" s="46" t="str">
        <x:v>F17</x:v>
      </x:c>
      <x:c r="B20" s="46" t="str">
        <x:v>P1</x:v>
      </x:c>
      <x:c r="C20" s="46" t="str">
        <x:v>Final backup/media preservation incomplete</x:v>
      </x:c>
      <x:c r="D20" s="46" t="str">
        <x:v>Dated recovery record</x:v>
      </x:c>
      <x:c r="E20" s="46" t="str">
        <x:v>Restore drill reported successful; final consistency and eight unrelated media originals remain unresolved.</x:v>
      </x:c>
      <x:c r="F20" s="46" t="str">
        <x:v>Complete consistent restore/reconciliation and object-byte recovery.</x:v>
      </x:c>
      <x:c r="G20" s="46" t="str">
        <x:v>DAT02,DAT08,DAT09</x:v>
      </x:c>
      <x:c r="H20" s="46" t="str">
        <x:v>H01,R10</x:v>
      </x:c>
    </x:row>
    <x:row r="21" ht="130" customHeight="1">
      <x:c r="A21" s="46" t="str">
        <x:v>F18</x:v>
      </x:c>
      <x:c r="B21" s="46" t="str">
        <x:v>P1</x:v>
      </x:c>
      <x:c r="C21" s="46" t="str">
        <x:v>Five-club release and legal conditions differ</x:v>
      </x:c>
      <x:c r="D21" s="46" t="str">
        <x:v>Current scope + dated onboarding status</x:v>
      </x:c>
      <x:c r="E21" s="46" t="str">
        <x:v>Shell support is not onboarding/publisher/merchant/device acceptance; Costa prerequisites explicit.</x:v>
      </x:c>
      <x:c r="F21" s="46" t="str">
        <x:v>Per-club release matrix and country/publisher decisions.</x:v>
      </x:c>
      <x:c r="G21" s="46" t="str">
        <x:v>LEG01-LEG12,REL08</x:v>
      </x:c>
      <x:c r="H21" s="46" t="str">
        <x:v>E03,H01,R16,R21,R22</x:v>
      </x:c>
    </x:row>
    <x:row r="22" ht="130" customHeight="1">
      <x:c r="A22" s="46" t="str">
        <x:v>F19</x:v>
      </x:c>
      <x:c r="B22" s="46" t="str">
        <x:v>P1</x:v>
      </x:c>
      <x:c r="C22" s="46" t="str">
        <x:v>Hosting and operational acceptance unproven</x:v>
      </x:c>
      <x:c r="D22" s="46" t="str">
        <x:v>Current config + primary research</x:v>
      </x:c>
      <x:c r="E22" s="46" t="str">
        <x:v>Staging-only gates/placeholders, disabled telemetry, non-African D1 locations.</x:v>
      </x:c>
      <x:c r="F22" s="46" t="str">
        <x:v>Approve hosting; prove actual resources, alerts, capacity and recovery.</x:v>
      </x:c>
      <x:c r="G22" s="46" t="str">
        <x:v>LEG05,DAT07,OPS01-OPS10</x:v>
      </x:c>
      <x:c r="H22" s="46" t="str">
        <x:v>E19,E20,R05,R07,R21</x:v>
      </x:c>
    </x:row>
    <x:row r="23" ht="130" customHeight="1">
      <x:c r="A23" s="46" t="str">
        <x:v>F20</x:v>
      </x:c>
      <x:c r="B23" s="46" t="str">
        <x:v>P1</x:v>
      </x:c>
      <x:c r="C23" s="46" t="str">
        <x:v>Economic, UI and acceptance drift</x:v>
      </x:c>
      <x:c r="D23" s="46" t="str">
        <x:v>Current governance + dated QA</x:v>
      </x:c>
      <x:c r="E23" s="46" t="str">
        <x:v>Conservative Predict gate exists; historical debits and old visual approval cannot prove current acceptance.</x:v>
      </x:c>
      <x:c r="F23" s="46" t="str">
        <x:v>Align actual enabled economics and independent visual/accessibility evidence.</x:v>
      </x:c>
      <x:c r="G23" s="46" t="str">
        <x:v>DOM08,DOM09,UX01-UX08</x:v>
      </x:c>
      <x:c r="H23" s="46" t="str">
        <x:v>E03,E04,E23,R18,R19</x:v>
      </x:c>
    </x:row>
  </x:sheetData>
  <x:mergeCells>
    <x:mergeCell ref="A1:H1"/>
  </x:mergeCells>
  <x:pageMargins left="0.7" right="0.7" top="0.75" bottom="0.75" header="0.3" footer="0.3"/>
  <x:tableParts count="1">
    <x:tablePart xmlns:r="http://schemas.openxmlformats.org/officeDocument/2006/relationships" r:id="Rf5f2bd023f9d40fb"/>
  </x:tableParts>
</x:worksheet>
</file>

<file path=xl/worksheets/sheet5.xml><?xml version="1.0" encoding="utf-8"?>
<x:worksheet xmlns:x="http://schemas.openxmlformats.org/spreadsheetml/2006/main">
  <x:sheetFormatPr defaultRowHeight="15"/>
  <x:cols>
    <x:col min="1" max="1" width="10" hidden="0" customWidth="1"/>
    <x:col min="2" max="2" width="24" hidden="0" customWidth="1"/>
    <x:col min="3" max="3" width="40" hidden="0" customWidth="1"/>
    <x:col min="4" max="4" width="37" hidden="0" customWidth="1"/>
    <x:col min="5" max="5" width="31" hidden="0" customWidth="1"/>
    <x:col min="6" max="6" width="38" hidden="0" customWidth="1"/>
  </x:cols>
  <x:sheetData>
    <x:row r="1" ht="32" customHeight="1">
      <x:c r="A1" s="39" t="str">
        <x:v>Original 37-item source checklist | wording and checkmarks preserved</x:v>
      </x:c>
      <x:c r="B1" s="39"/>
      <x:c r="C1" s="39"/>
      <x:c r="D1" s="39"/>
      <x:c r="E1" s="39"/>
      <x:c r="F1" s="39"/>
    </x:row>
    <x:row r="3" ht="30" customHeight="1">
      <x:c r="A3" s="43" t="str">
        <x:v>QA ID</x:v>
      </x:c>
      <x:c r="B3" s="43" t="str">
        <x:v>Source checkmark</x:v>
      </x:c>
      <x:c r="C3" s="43" t="str">
        <x:v>Original task text (verbatim)</x:v>
      </x:c>
      <x:c r="D3" s="43" t="str">
        <x:v>Expanded tasks</x:v>
      </x:c>
      <x:c r="E3" s="43" t="str">
        <x:v>Current closure assessment</x:v>
      </x:c>
      <x:c r="F3" s="43" t="str">
        <x:v>Source URL</x:v>
      </x:c>
    </x:row>
    <x:row r="4" ht="216" customHeight="1">
      <x:c r="A4" s="46" t="str">
        <x:v>QA-01</x:v>
      </x:c>
      <x:c r="B4" s="46" t="str">
        <x:v>Unchecked in source</x:v>
      </x:c>
      <x:c r="C4" s="46" t="str">
        <x:v>**QA-00 — Execution prerequisites:** Confirm stable disk capacity, pinned tools, isolated service health and required per-club build inputs before each resource-heavy run. Retain current source/configuration hashes. Official Flutter 3.44.9 now passes standard iOS builds; default recovered external simulator paths remain open with an owned internal-set workaround (QA-ENV-011). Current Home checkpoint recorded transient Docker timeouts, then resumed the exact owned services and verified four tenant configuration responses plus Auth health. No global reset or data loss; root cause remains unconfirmed.</x:v>
      </x:c>
      <x:c r="D4" s="46" t="str">
        <x:v>SRC01,CI02,CI10</x:v>
      </x:c>
      <x:c r="E4" s="46" t="str">
        <x:v>Not revalidated as a final-candidate closure</x:v>
      </x:c>
      <x:c r="F4" s="46" t="str">
        <x:v>https://drive.google.com/file/d/1GcYfaSWxQqQBw2OMLoX1Q_qZCWPd5-wT/view</x:v>
      </x:c>
    </x:row>
    <x:row r="5" ht="180" customHeight="1">
      <x:c r="A5" s="46" t="str">
        <x:v>QA-02</x:v>
      </x:c>
      <x:c r="B5" s="46" t="str">
        <x:v>Unchecked in source</x:v>
      </x:c>
      <x:c r="C5" s="46" t="str">
        <x:v>**QA-01 — Complete case mapping:** Reconcile the consolidated 47 native rendered entries plus 15 compatibility redirects, 51 web destinations plus one compatibility redirect, with all components, overlays, states, roles, clubs, platforms and actual feature availability. Complete the coverage audit; resolve gaps in API/RPC/table/policy/storage/job coverage without inventing a final case count.</x:v>
      </x:c>
      <x:c r="D5" s="46" t="str">
        <x:v>SRC08,WEB01,UX07,DAT03</x:v>
      </x:c>
      <x:c r="E5" s="46" t="str">
        <x:v>Not revalidated as a final-candidate closure</x:v>
      </x:c>
      <x:c r="F5" s="46" t="str">
        <x:v>https://drive.google.com/file/d/1GcYfaSWxQqQBw2OMLoX1Q_qZCWPd5-wT/view</x:v>
      </x:c>
    </x:row>
    <x:row r="6" ht="180" customHeight="1">
      <x:c r="A6" s="46" t="str">
        <x:v>QA-03</x:v>
      </x:c>
      <x:c r="B6" s="46" t="str">
        <x:v>Unchecked in source</x:v>
      </x:c>
      <x:c r="C6" s="46" t="str">
        <x:v>**QA-01/06 — Reference coverage:** Bind every applicable screen/state to a current Revolut comparator or justified adaptation; resolve missing platform/theme/state references and preserve club identity and workflows.</x:v>
      </x:c>
      <x:c r="D6" s="46" t="str">
        <x:v>UX01,UX03</x:v>
      </x:c>
      <x:c r="E6" s="46" t="str">
        <x:v>Not revalidated as a final-candidate closure</x:v>
      </x:c>
      <x:c r="F6" s="46" t="str">
        <x:v>https://drive.google.com/file/d/1GcYfaSWxQqQBw2OMLoX1Q_qZCWPd5-wT/view</x:v>
      </x:c>
    </x:row>
    <x:row r="7" ht="244" customHeight="1">
      <x:c r="A7" s="46" t="str">
        <x:v>QA-04</x:v>
      </x:c>
      <x:c r="B7" s="46" t="str">
        <x:v>Unchecked in source</x:v>
      </x:c>
      <x:c r="C7" s="46" t="str">
        <x:v>**QA-02 — Full current baseline:** Run the remaining complete Flutter/package/integration and supported Playwright project suites on the revised scope, measure coverage, refresh dependency/security checks and retain all failure/skip distinctions. Passing affected suites is not a full candidate pass. Earlier source-bound backend and web results are retained in the readiness report; no fresh full browser/SQL/Edge replay is claimed by this Home checkpoint. The subsequent Home layout checkpoint passes 2,332 tests (2,306 shared-package and 26 app tests), zero skips, and strict analysis on final shared UI source; 16 meaningful UI regression cases were added. Coverage is not remeasured.</x:v>
      </x:c>
      <x:c r="D7" s="46" t="str">
        <x:v>CI05,CI06,CI08,CI10,REL02</x:v>
      </x:c>
      <x:c r="E7" s="46" t="str">
        <x:v>Not revalidated as a final-candidate closure</x:v>
      </x:c>
      <x:c r="F7" s="46" t="str">
        <x:v>https://drive.google.com/file/d/1GcYfaSWxQqQBw2OMLoX1Q_qZCWPd5-wT/view</x:v>
      </x:c>
    </x:row>
    <x:row r="8" ht="180" customHeight="1">
      <x:c r="A8" s="46" t="str">
        <x:v>QA-05</x:v>
      </x:c>
      <x:c r="B8" s="46" t="str">
        <x:v>Checked in source</x:v>
      </x:c>
      <x:c r="C8" s="46" t="str">
        <x:v>**QA-03/08 — Server payment allocation:** Repair the SQL allocation path that writes invalid payment-intent status `completed`, with meaningful authorization, idempotency and persisted-outcome regressions (QA-MONEY-007). Verified locally: 44 SQL assertions, eight additional concurrency scenarios and seven real isolated Auth/PostgREST journeys. Linked business-target fulfillment remains task 7.</x:v>
      </x:c>
      <x:c r="D8" s="46" t="str">
        <x:v>PAY10,DAT06</x:v>
      </x:c>
      <x:c r="E8" s="46" t="str">
        <x:v>Not revalidated as a final-candidate closure</x:v>
      </x:c>
      <x:c r="F8" s="46" t="str">
        <x:v>https://drive.google.com/file/d/1GcYfaSWxQqQBw2OMLoX1Q_qZCWPd5-wT/view</x:v>
      </x:c>
    </x:row>
    <x:row r="9" ht="356" customHeight="1">
      <x:c r="A9" s="46" t="str">
        <x:v>QA-06</x:v>
      </x:c>
      <x:c r="B9" s="46" t="str">
        <x:v>Unchecked in source</x:v>
      </x:c>
      <x:c r="C9" s="46" t="str">
        <x:v>**QA-03/08 — Payment evidence binding:** Complete receiver/payee, currency and provider-evidence checks in fallback matching; revalidate receiver changes and expiry after lock waits (QA-MONEY-007/008). Locked automatic/manual intent allocation and ticket/shop checkout revalidation pass, including receiver changes after waits. Paid membership binds provider, country and recipient to the checkout snapshot. Candidate matching now filters merchant, currency and expiry before ambiguity/limit checks (QA-MONEY-016). The previously probed server receipt handler stores null club/provider metadata and trusts client-submitted message text (QA-MONEY-019/020). These are backend/future management-gateway contract gaps, not supporter-app features. Define authenticated management-device/operator submission, server-bound club/merchant scope and replay-resistant receipt validation without restoring any mobile collector. Group/initiative/other fallback receiver changes and the trusted server receipt boundary remain open.</x:v>
      </x:c>
      <x:c r="D9" s="46" t="str">
        <x:v>PAY01,PAY03,PAY06</x:v>
      </x:c>
      <x:c r="E9" s="46" t="str">
        <x:v>Not revalidated as a final-candidate closure</x:v>
      </x:c>
      <x:c r="F9" s="46" t="str">
        <x:v>https://drive.google.com/file/d/1GcYfaSWxQqQBw2OMLoX1Q_qZCWPd5-wT/view</x:v>
      </x:c>
    </x:row>
    <x:row r="10" ht="314" customHeight="1">
      <x:c r="A10" s="46" t="str">
        <x:v>QA-07</x:v>
      </x:c>
      <x:c r="B10" s="46" t="str">
        <x:v>Unchecked in source</x:v>
      </x:c>
      <x:c r="C10" s="46" t="str">
        <x:v>**QA-03/08 — Atomic financial posting:** Prove intent, ledger, reconciliation, target fulfillment and reward changes remain consistent under partial failure, concurrency and retry; prevent duplicate/out-of-order evidence and transaction reuse from allocating value twice. Generic allocation and commerce SQL contracts pass in the current full vendor replay. Paid membership activation, fulfillment reconciliation and exact-once renewal pass through real Auth/PostgREST and the actual parser with synthetic scoped receipts. Seven payment/parser routines now acquire the same raw-evidence mutex before row locks; eight added races cover a newly inserted review, allocation/rejection, parser claim/persistence, commerce and direct parser foreign-key inserts (QA-MONEY-021). Current complete database total is 45 races. Other generic-intent linked fulfillment and group/initiative posting atomicity remain open.</x:v>
      </x:c>
      <x:c r="D10" s="46" t="str">
        <x:v>PAY08,PAY10,DOM01,DOM02,DOM03,DOM04,DOM07</x:v>
      </x:c>
      <x:c r="E10" s="46" t="str">
        <x:v>Not revalidated as a final-candidate closure</x:v>
      </x:c>
      <x:c r="F10" s="46" t="str">
        <x:v>https://drive.google.com/file/d/1GcYfaSWxQqQBw2OMLoX1Q_qZCWPd5-wT/view</x:v>
      </x:c>
    </x:row>
    <x:row r="11" ht="258" customHeight="1">
      <x:c r="A11" s="46" t="str">
        <x:v>QA-08</x:v>
      </x:c>
      <x:c r="B11" s="46" t="str">
        <x:v>Unchecked in source</x:v>
      </x:c>
      <x:c r="C11" s="46" t="str">
        <x:v>**QA-03/07/08 — Interrupted processing:** Exercise crash/response-loss/stalled-parser recovery and durable notification outcomes after a committed transaction. Recovery must neither lose a valid posting nor duplicate it. Historical current-source-bound intent/commerce handler and process-termination checks remain recorded. Current vendor replay reruns parser claim and takeover races; actual membership handler recovery now passes after a committed response is lost and the merchant is rotated/inactivated, with no extra AI interpretation, debit or renewal (QA-MONEY-017). Recovery after saved interpretations/partial business writes outside verified receipts and durable notification delivery remain open.</x:v>
      </x:c>
      <x:c r="D11" s="46" t="str">
        <x:v>PAY05,PAY09,OPS04</x:v>
      </x:c>
      <x:c r="E11" s="46" t="str">
        <x:v>Not revalidated as a final-candidate closure</x:v>
      </x:c>
      <x:c r="F11" s="46" t="str">
        <x:v>https://drive.google.com/file/d/1GcYfaSWxQqQBw2OMLoX1Q_qZCWPd5-wT/view</x:v>
      </x:c>
    </x:row>
    <x:row r="12" ht="180" customHeight="1">
      <x:c r="A12" s="46" t="str">
        <x:v>QA-09</x:v>
      </x:c>
      <x:c r="B12" s="46" t="str">
        <x:v>Unchecked in source</x:v>
      </x:c>
      <x:c r="C12" s="46" t="str">
        <x:v>**QA-03/04/05 — Identity lifecycle:** Complete guest/club entry, OTP invalid/expired/resend/rate-limit behavior, restore/refresh/expiry, logout/account switch, role removal, private data access/export/deletion and concurrent profile/phone edits through actual clients.</x:v>
      </x:c>
      <x:c r="D12" s="46" t="str">
        <x:v>AUT01,AUT02,AUT03,AUT04,AUT08,AUT10,AUT11</x:v>
      </x:c>
      <x:c r="E12" s="46" t="str">
        <x:v>Not revalidated as a final-candidate closure</x:v>
      </x:c>
      <x:c r="F12" s="46" t="str">
        <x:v>https://drive.google.com/file/d/1GcYfaSWxQqQBw2OMLoX1Q_qZCWPd5-wT/view</x:v>
      </x:c>
    </x:row>
    <x:row r="13" ht="286" customHeight="1">
      <x:c r="A13" s="46" t="str">
        <x:v>QA-10</x:v>
      </x:c>
      <x:c r="B13" s="46" t="str">
        <x:v>Unchecked in source</x:v>
      </x:c>
      <x:c r="C13" s="46" t="str">
        <x:v>**QA-04/05 — Member lifecycle:** Complete paid-tier selection, authoritative MoMo payment preparation, automatic matched-payment activation/renewal and fan-club/community permissions. The retired application/manual-review/free-tier workflow must remain inaccessible. Current full-schema SQL and actual Auth/REST/parser checks cover paid checkout, server amount and route, provider/recipient binding, automatic activation, exact-once renewal, retained tier/points, receiver-rotation recovery and preserved administrative suspension (QA-MONEY-018). Payment-success cases use directly seeded scoped synthetic receipts. Complete client journeys using server-confirmed payments, contribution intents, statements and totals for all retained clubs. Any message capture is owned by the separate management gateway.</x:v>
      </x:c>
      <x:c r="D13" s="46" t="str">
        <x:v>DOM01,PAY04,NAT12</x:v>
      </x:c>
      <x:c r="E13" s="46" t="str">
        <x:v>Not revalidated as a final-candidate closure</x:v>
      </x:c>
      <x:c r="F13" s="46" t="str">
        <x:v>https://drive.google.com/file/d/1GcYfaSWxQqQBw2OMLoX1Q_qZCWPd5-wT/view</x:v>
      </x:c>
    </x:row>
    <x:row r="14" ht="258" customHeight="1">
      <x:c r="A14" s="46" t="str">
        <x:v>QA-11</x:v>
      </x:c>
      <x:c r="B14" s="46" t="str">
        <x:v>Checked in source</x:v>
      </x:c>
      <x:c r="C14" s="46" t="str">
        <x:v>**QA-05/07 — Member recovery:** Complete real account switching, request deadlines, offline restored sessions, failed sign-out and stale-response protection on the current candidate. Retain the already-fixed history and activation regressions. Verified locally on sealed web build `Cmc0QxLAzr6rgw3Gi4lUU` in Chromium, Firefox and WebKit: 63 functional checks plus 12 fixture cleanup assertions across actual isolated Auth/REST/RPC recovery and two-account switching. Includes offline restore, failed sign-out across reload, response loss after contribution commit, late-response rejection and identical-input retry. Only the owned test-port CORS origin is adapted; provider delivery and installed PWA acceptance remain separate.</x:v>
      </x:c>
      <x:c r="D14" s="46" t="str">
        <x:v>AUT08,WEB03,WEB04,WEB06</x:v>
      </x:c>
      <x:c r="E14" s="46" t="str">
        <x:v>Not revalidated as a final-candidate closure</x:v>
      </x:c>
      <x:c r="F14" s="46" t="str">
        <x:v>https://drive.google.com/file/d/1GcYfaSWxQqQBw2OMLoX1Q_qZCWPd5-wT/view</x:v>
      </x:c>
    </x:row>
    <x:row r="15" ht="180" customHeight="1">
      <x:c r="A15" s="46" t="str">
        <x:v>QA-12</x:v>
      </x:c>
      <x:c r="B15" s="46" t="str">
        <x:v>Unchecked in source</x:v>
      </x:c>
      <x:c r="C15" s="46" t="str">
        <x:v>**QA-03/04/05 — Predict/FET:** Complete eligible/ineligible entry, balances/history, result correction, settlement retry, void and no-winner outcomes. Preserve the existing passing duplicate-entry, overspend and kickoff races.</x:v>
      </x:c>
      <x:c r="D15" s="46" t="str">
        <x:v>DOM08,DOM09,LEG03</x:v>
      </x:c>
      <x:c r="E15" s="46" t="str">
        <x:v>Not revalidated as a final-candidate closure</x:v>
      </x:c>
      <x:c r="F15" s="46" t="str">
        <x:v>https://drive.google.com/file/d/1GcYfaSWxQqQBw2OMLoX1Q_qZCWPd5-wT/view</x:v>
      </x:c>
    </x:row>
    <x:row r="16" ht="180" customHeight="1">
      <x:c r="A16" s="46" t="str">
        <x:v>QA-13</x:v>
      </x:c>
      <x:c r="B16" s="46" t="str">
        <x:v>Unchecked in source</x:v>
      </x:c>
      <x:c r="C16" s="46" t="str">
        <x:v>**QA-03/04/05 — Tickets/Wallet:** Complete price/capacity and pending/failed/unknown/confirmed purchase outcomes, issue/cancel/refund where implemented, ownership and expiry, Wallet availability/save flow and outbox recovery. Preserve the passing migration/issuance contracts.</x:v>
      </x:c>
      <x:c r="D16" s="46" t="str">
        <x:v>DOM04,DOM05,DOM06,PAY07</x:v>
      </x:c>
      <x:c r="E16" s="46" t="str">
        <x:v>Not revalidated as a final-candidate closure</x:v>
      </x:c>
      <x:c r="F16" s="46" t="str">
        <x:v>https://drive.google.com/file/d/1GcYfaSWxQqQBw2OMLoX1Q_qZCWPd5-wT/view</x:v>
      </x:c>
    </x:row>
    <x:row r="17" ht="180" customHeight="1">
      <x:c r="A17" s="46" t="str">
        <x:v>QA-14</x:v>
      </x:c>
      <x:c r="B17" s="46" t="str">
        <x:v>Unchecked in source</x:v>
      </x:c>
      <x:c r="C17" s="46" t="str">
        <x:v>**QA-03/04/05 — Shop:** Complete stock/price authority, stale cart review, last-item races, payment uncertainty, reservation expiry, fulfillment/cancellation/refund and concurrent transition correctness.</x:v>
      </x:c>
      <x:c r="D17" s="46" t="str">
        <x:v>DOM07,PAY07</x:v>
      </x:c>
      <x:c r="E17" s="46" t="str">
        <x:v>Not revalidated as a final-candidate closure</x:v>
      </x:c>
      <x:c r="F17" s="46" t="str">
        <x:v>https://drive.google.com/file/d/1GcYfaSWxQqQBw2OMLoX1Q_qZCWPd5-wT/view</x:v>
      </x:c>
    </x:row>
    <x:row r="18" ht="180" customHeight="1">
      <x:c r="A18" s="46" t="str">
        <x:v>QA-15</x:v>
      </x:c>
      <x:c r="B18" s="46" t="str">
        <x:v>Unchecked in source</x:v>
      </x:c>
      <x:c r="C18" s="46" t="str">
        <x:v>**QA-05 — Public websites:** Exercise all 23 public page templates and configured retained-club hosts/identities, content discovery, search, SEO, privacy/support and app/deep links across supported responsive browsers. Current scope includes four-club support/deletion/share identity and tenant-specific root/page metadata/JSON-LD, verified by 48 browser cases. Unconfigured club domains do not inherit Rayon canonicals.</x:v>
      </x:c>
      <x:c r="D18" s="46" t="str">
        <x:v>PUB08,PUB09,WEB01</x:v>
      </x:c>
      <x:c r="E18" s="46" t="str">
        <x:v>Not revalidated as a final-candidate closure</x:v>
      </x:c>
      <x:c r="F18" s="46" t="str">
        <x:v>https://drive.google.com/file/d/1GcYfaSWxQqQBw2OMLoX1Q_qZCWPd5-wT/view</x:v>
      </x:c>
    </x:row>
    <x:row r="19" ht="202" customHeight="1">
      <x:c r="A19" s="46" t="str">
        <x:v>QA-16</x:v>
      </x:c>
      <x:c r="B19" s="46" t="str">
        <x:v>Checked in source</x:v>
      </x:c>
      <x:c r="C19" s="46" t="str">
        <x:v>**QA-05/08 — Editorial provenance:** Verify the hardcoded home competition, score and champion headline against approved content and all retained-club behavior before deciding whether to retain or replace it (QA-CONT-001). No approved factual source was found in the maintained content records; removed the unbound championship/score and stale navigation fixture/roster claims. Retained live confirmed content, routes and club-specific identity. Four-club unit regressions and 24 browser cases pass; visual/owner acceptance remains separate.</x:v>
      </x:c>
      <x:c r="D19" s="46" t="str">
        <x:v>PUB01,DOM11,UX08</x:v>
      </x:c>
      <x:c r="E19" s="46" t="str">
        <x:v>Not revalidated as a final-candidate closure</x:v>
      </x:c>
      <x:c r="F19" s="46" t="str">
        <x:v>https://drive.google.com/file/d/1GcYfaSWxQqQBw2OMLoX1Q_qZCWPd5-wT/view</x:v>
      </x:c>
    </x:row>
    <x:row r="20" ht="180" customHeight="1">
      <x:c r="A20" s="46" t="str">
        <x:v>QA-17</x:v>
      </x:c>
      <x:c r="B20" s="46" t="str">
        <x:v>Unchecked in source</x:v>
      </x:c>
      <x:c r="C20" s="46" t="str">
        <x:v>**QA-05 — Admin operations:** Complete every retained module and role, actual cross-club API writes/readback, search/filter/sort/pagination, detail-return state, save conflicts, destructive review, bulk partial failure and audit actor/reason/time checks.</x:v>
      </x:c>
      <x:c r="D20" s="46" t="str">
        <x:v>WEB02,AUT09,PUB05</x:v>
      </x:c>
      <x:c r="E20" s="46" t="str">
        <x:v>Not revalidated as a final-candidate closure</x:v>
      </x:c>
      <x:c r="F20" s="46" t="str">
        <x:v>https://drive.google.com/file/d/1GcYfaSWxQqQBw2OMLoX1Q_qZCWPd5-wT/view</x:v>
      </x:c>
    </x:row>
    <x:row r="21" ht="180" customHeight="1">
      <x:c r="A21" s="46" t="str">
        <x:v>QA-18</x:v>
      </x:c>
      <x:c r="B21" s="46" t="str">
        <x:v>Unchecked in source</x:v>
      </x:c>
      <x:c r="C21" s="46" t="str">
        <x:v>**QA-05/06 — Admin responsive controls:** Finish current-candidate checks for identity/brand/palette/flag controls, text enlargement, keyboard/focus, table density and existing dialog/hydration regressions across supported browsers.</x:v>
      </x:c>
      <x:c r="D21" s="46" t="str">
        <x:v>WEB08,UX02</x:v>
      </x:c>
      <x:c r="E21" s="46" t="str">
        <x:v>Not revalidated as a final-candidate closure</x:v>
      </x:c>
      <x:c r="F21" s="46" t="str">
        <x:v>https://drive.google.com/file/d/1GcYfaSWxQqQBw2OMLoX1Q_qZCWPd5-wT/view</x:v>
      </x:c>
    </x:row>
    <x:row r="22" ht="216" customHeight="1">
      <x:c r="A22" s="46" t="str">
        <x:v>QA-19</x:v>
      </x:c>
      <x:c r="B22" s="46" t="str">
        <x:v>Unchecked in source</x:v>
      </x:c>
      <x:c r="C22" s="46" t="str">
        <x:v>**QA-03 — API/backend integration:** Extend real application transport coverage for endpoint methods, authorization/tenant boundaries, invalid input, 401/403/404/409/429/5xx, timeout and retry outcomes. Assert UI and persisted state together. Fifteen current real Auth/PostgREST/Edge membership checks pass, including anonymous/foreign-club rejection, denied supporter snapshot writes and committed-response recovery. The historical server SMS-handler probe exposes an open gateway/server receipt boundary; it neither represents a supporter-app feature nor proves an end-to-end live payment.</x:v>
      </x:c>
      <x:c r="D22" s="46" t="str">
        <x:v>AUT12,CI05,PAY10,WEB09</x:v>
      </x:c>
      <x:c r="E22" s="46" t="str">
        <x:v>Not revalidated as a final-candidate closure</x:v>
      </x:c>
      <x:c r="F22" s="46" t="str">
        <x:v>https://drive.google.com/file/d/1GcYfaSWxQqQBw2OMLoX1Q_qZCWPd5-wT/view</x:v>
      </x:c>
    </x:row>
    <x:row r="23" ht="202" customHeight="1">
      <x:c r="A23" s="46" t="str">
        <x:v>QA-20</x:v>
      </x:c>
      <x:c r="B23" s="46" t="str">
        <x:v>Unchecked in source</x:v>
      </x:c>
      <x:c r="C23" s="46" t="str">
        <x:v>**QA-03/07 — Storage/realtime/jobs:** Complete upload type/size/path access, private storage boundaries, cross-account realtime subscriptions and reconnect catch-up, scheduled-job overlap/retries and stale-data behavior. Current scope: actual isolated WebSocket/Flutter-controller recovery passes for both published public match sources. Thirteen real Storage API checks and nine upload-handler/Auth/Storage outcomes verify type/size/path/RLS/tenant/role-removal behavior. Private subscriptions and remaining job behavior remain open; no private bucket is configured.</x:v>
      </x:c>
      <x:c r="D23" s="46" t="str">
        <x:v>DAT05,PUB03,WEB07</x:v>
      </x:c>
      <x:c r="E23" s="46" t="str">
        <x:v>Not revalidated as a final-candidate closure</x:v>
      </x:c>
      <x:c r="F23" s="46" t="str">
        <x:v>https://drive.google.com/file/d/1GcYfaSWxQqQBw2OMLoX1Q_qZCWPd5-wT/view</x:v>
      </x:c>
    </x:row>
    <x:row r="24" ht="230" customHeight="1">
      <x:c r="A24" s="46" t="str">
        <x:v>QA-21</x:v>
      </x:c>
      <x:c r="B24" s="46" t="str">
        <x:v>Unchecked in source</x:v>
      </x:c>
      <x:c r="C24" s="46" t="str">
        <x:v>**QA-03/07 — Integration failure handling:** Exercise all applicable auth-hook, server receipt, notification, football-feed, image-generation and Wallet integration boundaries using approved substitutes/sinks. Verify signatures, authorization, invalid tokens, deduplication, failure/retry and review-before-publication behavior. The earlier server-handler probe confirms missing trusted tenant/provider context and an undefined receipt trust boundary. Specify the separate management-gateway/server contract and local negative regressions; supporter-app collection is excluded. No external provider was contacted in the isolated payment runs.</x:v>
      </x:c>
      <x:c r="D24" s="46" t="str">
        <x:v>AUT05,AUT06,PAY01,DOM06,PUB10,OPS04</x:v>
      </x:c>
      <x:c r="E24" s="46" t="str">
        <x:v>Not revalidated as a final-candidate closure</x:v>
      </x:c>
      <x:c r="F24" s="46" t="str">
        <x:v>https://drive.google.com/file/d/1GcYfaSWxQqQBw2OMLoX1Q_qZCWPd5-wT/view</x:v>
      </x:c>
    </x:row>
    <x:row r="25" ht="180" customHeight="1">
      <x:c r="A25" s="46" t="str">
        <x:v>QA-22</x:v>
      </x:c>
      <x:c r="B25" s="46" t="str">
        <x:v>Unchecked in source</x:v>
      </x:c>
      <x:c r="C25" s="46" t="str">
        <x:v>**QA-04 — Native prerequisites:** Resolve actual release inputs for the four clubs. Current local checks find Firebase configuration files and bundled iOS app-icon PNGs absent for Vital'O, Nkana and AS Vita. Verify intended integrations, registered identities and real build inputs; absence does not by itself prove a boot crash.</x:v>
      </x:c>
      <x:c r="D25" s="46" t="str">
        <x:v>NAT01,NAT02,NAT09,LEG01</x:v>
      </x:c>
      <x:c r="E25" s="46" t="str">
        <x:v>Not revalidated as a final-candidate closure</x:v>
      </x:c>
      <x:c r="F25" s="46" t="str">
        <x:v>https://drive.google.com/file/d/1GcYfaSWxQqQBw2OMLoX1Q_qZCWPd5-wT/view</x:v>
      </x:c>
    </x:row>
    <x:row r="26" ht="180" customHeight="1">
      <x:c r="A26" s="46" t="str">
        <x:v>QA-23</x:v>
      </x:c>
      <x:c r="B26" s="46" t="str">
        <x:v>Unchecked in source</x:v>
      </x:c>
      <x:c r="C26" s="46" t="str">
        <x:v>**QA-04 — Eight native builds/boots:** Build, install and launch each retained club on both Android and iOS. Verify icons, IDs, tenant/currency, feature flags, capabilities, deep links, bootstrap/backend behavior and actual iOS SwiftPM/CocoaPods resolution. After the Home fixes, all eight main-entrypoint debug artifacts are rebuilt, installed, launched and read back again; current evidence is home-layout-20260923/report.json. This is not signing, full-journey or store acceptance.</x:v>
      </x:c>
      <x:c r="D26" s="46" t="str">
        <x:v>CI06,NAT09</x:v>
      </x:c>
      <x:c r="E26" s="46" t="str">
        <x:v>Not revalidated as a final-candidate closure</x:v>
      </x:c>
      <x:c r="F26" s="46" t="str">
        <x:v>https://drive.google.com/file/d/1GcYfaSWxQqQBw2OMLoX1Q_qZCWPd5-wT/view</x:v>
      </x:c>
    </x:row>
    <x:row r="27" ht="188" customHeight="1">
      <x:c r="A27" s="46" t="str">
        <x:v>QA-24</x:v>
      </x:c>
      <x:c r="B27" s="46" t="str">
        <x:v>Unchecked in source</x:v>
      </x:c>
      <x:c r="C27" s="46" t="str">
        <x:v>**QA-04 — Remaining native journeys:** Execute the remaining repaired screenshot/integration journeys, capture iOS separately and expand beyond the earlier synthetic Rayon Club pilot to the complete supporter workflow. Current Home checkpoint passes five Home/auth/settings/deep-link/recovery cases and one Club/squad/player/history case on each platform (12 native case executions), with 20 system captures. These use synthetic repositories/auth; all-club authenticated and provider journeys remain open.</x:v>
      </x:c>
      <x:c r="D27" s="46" t="str">
        <x:v>NAT04,NAT05,NAT06,NAT07,NAT08,NAT12</x:v>
      </x:c>
      <x:c r="E27" s="46" t="str">
        <x:v>Not revalidated as a final-candidate closure</x:v>
      </x:c>
      <x:c r="F27" s="46" t="str">
        <x:v>https://drive.google.com/file/d/1GcYfaSWxQqQBw2OMLoX1Q_qZCWPd5-wT/view</x:v>
      </x:c>
    </x:row>
    <x:row r="28" ht="244" customHeight="1">
      <x:c r="A28" s="46" t="str">
        <x:v>QA-25</x:v>
      </x:c>
      <x:c r="B28" s="46" t="str">
        <x:v>Unchecked in source</x:v>
      </x:c>
      <x:c r="C28" s="46" t="str">
        <x:v>**QA-05/07 — PWA lifecycle:** Verify tab versus installed mode, offline launch/reconnect, session expiry/logout, storage denial/quota, draft preservation during update, old tabs and supported version recovery. Confirm safe treatment of legacy queued mutations and obtain supported Safari/Firefox worker evidence. Current scope: six browser profiles pass real worker origin-loss/reconnect, private membership-cache exclusion, preference storage denial, explicit update cancellation and older-tab draft preservation. Workers retain legacy mutations without replay. Installed mode, durable saved drafts, account expiry across all lifecycle states and arbitrary mixed-version compatibility remain open.</x:v>
      </x:c>
      <x:c r="D28" s="46" t="str">
        <x:v>WEB03,WEB04,WEB10</x:v>
      </x:c>
      <x:c r="E28" s="46" t="str">
        <x:v>Not revalidated as a final-candidate closure</x:v>
      </x:c>
      <x:c r="F28" s="46" t="str">
        <x:v>https://drive.google.com/file/d/1GcYfaSWxQqQBw2OMLoX1Q_qZCWPd5-wT/view</x:v>
      </x:c>
    </x:row>
    <x:row r="29" ht="244" customHeight="1">
      <x:c r="A29" s="46" t="str">
        <x:v>QA-26</x:v>
      </x:c>
      <x:c r="B29" s="46" t="str">
        <x:v>Unchecked in source</x:v>
      </x:c>
      <x:c r="C29" s="46" t="str">
        <x:v>**QA-06 — Visual acceptance:** Complete matched source/target comparisons for geometry, type, full color roles, density, imagery, copy, controls and overlays on all applicable surfaces. Update evidence without treating widget golden equality as source-fidelity approval. Owner approval from 20 September remains bound to the original gallery/image hashes; exact source fidelity and independent technical acceptance remain separate. Home checkpoint closes QA-UI-004/005/006 locally. Eight new Home images and nine reviewed Membership heading changes bring the register to 1,062 (766 route images and 296 shared variants). Current images do not inherit prior owner approval.</x:v>
      </x:c>
      <x:c r="D29" s="46" t="str">
        <x:v>UX01,UX03,UX07</x:v>
      </x:c>
      <x:c r="E29" s="46" t="str">
        <x:v>Not revalidated as a final-candidate closure</x:v>
      </x:c>
      <x:c r="F29" s="46" t="str">
        <x:v>https://drive.google.com/file/d/1GcYfaSWxQqQBw2OMLoX1Q_qZCWPd5-wT/view</x:v>
      </x:c>
    </x:row>
    <x:row r="30" ht="202" customHeight="1">
      <x:c r="A30" s="46" t="str">
        <x:v>QA-27</x:v>
      </x:c>
      <x:c r="B30" s="46" t="str">
        <x:v>Unchecked in source</x:v>
      </x:c>
      <x:c r="C30" s="46" t="str">
        <x:v>**QA-06 — Accessibility/usability:** Complete keyboard and human screen-reader tasks, contrast/focus/touch targets, compact reflow, article/header control clearance, 200% text/applicable 400% zoom, large native text, reduced motion, themes, permissions and supported orientations. Record actual task outcomes. New checks cover compact control geometry, News reflow at 200/300 percent, and a protected native status inset while scrolling. Android/iOS Home fixtures pass at 200 percent. Human reader, physical-device and remaining screen/state checks remain open.</x:v>
      </x:c>
      <x:c r="D30" s="46" t="str">
        <x:v>UX02,UX04,UX05,UX06,WEB08,NAT07</x:v>
      </x:c>
      <x:c r="E30" s="46" t="str">
        <x:v>Not revalidated as a final-candidate closure</x:v>
      </x:c>
      <x:c r="F30" s="46" t="str">
        <x:v>https://drive.google.com/file/d/1GcYfaSWxQqQBw2OMLoX1Q_qZCWPd5-wT/view</x:v>
      </x:c>
    </x:row>
    <x:row r="31" ht="202" customHeight="1">
      <x:c r="A31" s="46" t="str">
        <x:v>QA-28</x:v>
      </x:c>
      <x:c r="B31" s="46" t="str">
        <x:v>Unchecked in source</x:v>
      </x:c>
      <x:c r="C31" s="46" t="str">
        <x:v>**QA-07 — Performance:** Measure native cold/warm start, frames, memory and representative operations; web Lighthouse/admin-volume/route behavior; and current database plans/policies/index warnings. Keep existing bundle budgets; old advisor counts need regeneration after schema changes. Current scope: bundle and admin-volume budgets pass. Current cold-cache Lighthouse audit passes eight of nine runs; first Home performance is 0.89 against 0.90. All failures are retained. Native performance, representative database plans and all-route performance remain open.</x:v>
      </x:c>
      <x:c r="D31" s="46" t="str">
        <x:v>NAT11,OPS02,OPS05,PUB07</x:v>
      </x:c>
      <x:c r="E31" s="46" t="str">
        <x:v>Not revalidated as a final-candidate closure</x:v>
      </x:c>
      <x:c r="F31" s="46" t="str">
        <x:v>https://drive.google.com/file/d/1GcYfaSWxQqQBw2OMLoX1Q_qZCWPd5-wT/view</x:v>
      </x:c>
    </x:row>
    <x:row r="32" ht="180" customHeight="1">
      <x:c r="A32" s="46" t="str">
        <x:v>QA-29</x:v>
      </x:c>
      <x:c r="B32" s="46" t="str">
        <x:v>Unchecked in source</x:v>
      </x:c>
      <x:c r="C32" s="46" t="str">
        <x:v>**QA-07 — Resilience/operations:** Exercise process death, background/foreground interruption, network loss, timeout before submission/after commit, provider failure and unchanged-input retry. Verify bounded logs/alerts, queue/dead-letter handling, operational recovery and release rollback compatibility.</x:v>
      </x:c>
      <x:c r="D32" s="46" t="str">
        <x:v>DAT09,DAT12,OPS03,OPS04,OPS07,OPS10</x:v>
      </x:c>
      <x:c r="E32" s="46" t="str">
        <x:v>Not revalidated as a final-candidate closure</x:v>
      </x:c>
      <x:c r="F32" s="46" t="str">
        <x:v>https://drive.google.com/file/d/1GcYfaSWxQqQBw2OMLoX1Q_qZCWPd5-wT/view</x:v>
      </x:c>
    </x:row>
    <x:row r="33" ht="230" customHeight="1">
      <x:c r="A33" s="46" t="str">
        <x:v>QA-30</x:v>
      </x:c>
      <x:c r="B33" s="46" t="str">
        <x:v>Unchecked in source</x:v>
      </x:c>
      <x:c r="C33" s="46" t="str">
        <x:v>**QA-08 — Findings closure:** Repair remaining reproduced defects, retest affected shared code and all materially different club variants, and link each closure to reproduction, fix, regression and current evidence. Preserve scoped historical closures and excluded-product findings as such. Earlier source-bound payment, mobile-collector-removal and toolchain closures remain recorded; gateway/server trust findings QA-MONEY-019/020 and other actionable QA remain open. Home findings QA-UI-004/005/006 now have retained reproductions, shared-code fixes, final unit tests and Android/iOS capture evidence. This does not close the findings task as a whole.</x:v>
      </x:c>
      <x:c r="D33" s="46" t="str">
        <x:v>SEC01,SEC02,SEC03,SEC04,SEC05,SEC06,SEC07,SEC08,SRC02,SRC03,SRC04,SRC05,SRC06</x:v>
      </x:c>
      <x:c r="E33" s="46" t="str">
        <x:v>Not revalidated as a final-candidate closure</x:v>
      </x:c>
      <x:c r="F33" s="46" t="str">
        <x:v>https://drive.google.com/file/d/1GcYfaSWxQqQBw2OMLoX1Q_qZCWPd5-wT/view</x:v>
      </x:c>
    </x:row>
    <x:row r="34" ht="180" customHeight="1">
      <x:c r="A34" s="46" t="str">
        <x:v>QA-31</x:v>
      </x:c>
      <x:c r="B34" s="46" t="str">
        <x:v>Unchecked in source</x:v>
      </x:c>
      <x:c r="C34" s="46" t="str">
        <x:v>**QA-09 — Final candidate verification:** Run required final checks, regenerate source/configuration/artifact hashes and current screenshots/traces, reconcile every applicable case and publish the final per-surface readiness decision with separate quality results. Home checkpoint records final source/component/artifact hashes, eight rebuilt main artifacts and separate native fixture evidence; final whole-system candidate acceptance remains open.</x:v>
      </x:c>
      <x:c r="D34" s="46" t="str">
        <x:v>REL02,REL03,CI09,UX07</x:v>
      </x:c>
      <x:c r="E34" s="46" t="str">
        <x:v>Not revalidated as a final-candidate closure</x:v>
      </x:c>
      <x:c r="F34" s="46" t="str">
        <x:v>https://drive.google.com/file/d/1GcYfaSWxQqQBw2OMLoX1Q_qZCWPd5-wT/view</x:v>
      </x:c>
    </x:row>
    <x:row r="35" ht="180" customHeight="1">
      <x:c r="A35" s="46" t="str">
        <x:v>QA-32</x:v>
      </x:c>
      <x:c r="B35" s="46" t="str">
        <x:v>Unchecked in source</x:v>
      </x:c>
      <x:c r="C35" s="46" t="str">
        <x:v>**Hosted CI:** Recheck the previously recorded GitHub account billing/spending blocker, resolve it through the account owner if still present, and obtain actual hosted QA results without accidentally triggering deployment. The retirement commit intentionally skipped CI. Read-only GitHub refresh on 20 September confirms the latest recorded run remains startup_failure with zero check runs; the earlier billing explanation is not re-proven.</x:v>
      </x:c>
      <x:c r="D35" s="46" t="str">
        <x:v>CI01,CI03,CI04,CI07</x:v>
      </x:c>
      <x:c r="E35" s="46" t="str">
        <x:v>Not revalidated as a final-candidate closure</x:v>
      </x:c>
      <x:c r="F35" s="46" t="str">
        <x:v>https://drive.google.com/file/d/1GcYfaSWxQqQBw2OMLoX1Q_qZCWPd5-wT/view</x:v>
      </x:c>
    </x:row>
    <x:row r="36" ht="180" customHeight="1">
      <x:c r="A36" s="46" t="str">
        <x:v>QA-33</x:v>
      </x:c>
      <x:c r="B36" s="46" t="str">
        <x:v>Unchecked in source</x:v>
      </x:c>
      <x:c r="C36" s="46" t="str">
        <x:v>**Physical devices:** Complete real Android/iPhone installation, package readback, native permission/hardware behavior, accessibility, performance and interruption/recovery evidence for the release matrix.</x:v>
      </x:c>
      <x:c r="D36" s="46" t="str">
        <x:v>NAT03,NAT05,NAT06,NAT08,NAT10,NAT12</x:v>
      </x:c>
      <x:c r="E36" s="46" t="str">
        <x:v>Not revalidated as a final-candidate closure</x:v>
      </x:c>
      <x:c r="F36" s="46" t="str">
        <x:v>https://drive.google.com/file/d/1GcYfaSWxQqQBw2OMLoX1Q_qZCWPd5-wT/view</x:v>
      </x:c>
    </x:row>
    <x:row r="37" ht="230" customHeight="1">
      <x:c r="A37" s="46" t="str">
        <x:v>QA-34</x:v>
      </x:c>
      <x:c r="B37" s="46" t="str">
        <x:v>Unchecked in source</x:v>
      </x:c>
      <x:c r="C37" s="46" t="str">
        <x:v>**Providers:** Validate approved WhatsApp OTP, server payment evidence, push delivery, feeds and Google Wallet issuer/account/cron behavior against real authorized provider environments. Current payment tests substitute AI and directly seed trusted scope. The separate future management gateway needs an agreed authenticated sender/device and server receipt contract; the five supporter apps do not read or upload messages. Existing server-handler probes do not prove provider authenticity. Validate applicable real-provider boundaries separately after the contract is implemented. Local substitutes do not close this gate.</x:v>
      </x:c>
      <x:c r="D37" s="46" t="str">
        <x:v>AUT05,PAY01,PAY10,DOM06,LEG12</x:v>
      </x:c>
      <x:c r="E37" s="46" t="str">
        <x:v>Not revalidated as a final-candidate closure</x:v>
      </x:c>
      <x:c r="F37" s="46" t="str">
        <x:v>https://drive.google.com/file/d/1GcYfaSWxQqQBw2OMLoX1Q_qZCWPd5-wT/view</x:v>
      </x:c>
    </x:row>
    <x:row r="38" ht="216" customHeight="1">
      <x:c r="A38" s="46" t="str">
        <x:v>QA-35</x:v>
      </x:c>
      <x:c r="B38" s="46" t="str">
        <x:v>Unchecked in source</x:v>
      </x:c>
      <x:c r="C38" s="46" t="str">
        <x:v>**Revolut design review:** Inspect rendered routes and states across all five clubs on Android/iOS, public and member websites, and admin/PWA against the selected skill. Fix observed visual differences, retain current comparison evidence, and record actual implementer, independent reviewer and owner decisions separately. Visual fidelity remains unverified. A bounded same-author read-only code review and selected native/golden inspection are recorded in home-layout-20260923/implementation-review.json. Independent reviewer and current artifact owner acceptance remain unverified.</x:v>
      </x:c>
      <x:c r="D38" s="46" t="str">
        <x:v>UX03,UX06,UX08</x:v>
      </x:c>
      <x:c r="E38" s="46" t="str">
        <x:v>Not revalidated as a final-candidate closure</x:v>
      </x:c>
      <x:c r="F38" s="46" t="str">
        <x:v>https://drive.google.com/file/d/1GcYfaSWxQqQBw2OMLoX1Q_qZCWPd5-wT/view</x:v>
      </x:c>
    </x:row>
    <x:row r="39" ht="180" customHeight="1">
      <x:c r="A39" s="46" t="str">
        <x:v>QA-36</x:v>
      </x:c>
      <x:c r="B39" s="46" t="str">
        <x:v>Unchecked in source</x:v>
      </x:c>
      <x:c r="C39" s="46" t="str">
        <x:v>**Signing and distribution:** Verify final Android/iOS signing identities, release configuration, store metadata/privacy inputs, signed artifacts and install behavior; store review/public availability remain separate.</x:v>
      </x:c>
      <x:c r="D39" s="46" t="str">
        <x:v>NAT09,NAT10,LEG10,LEG11,SEC04</x:v>
      </x:c>
      <x:c r="E39" s="46" t="str">
        <x:v>Not revalidated as a final-candidate closure</x:v>
      </x:c>
      <x:c r="F39" s="46" t="str">
        <x:v>https://drive.google.com/file/d/1GcYfaSWxQqQBw2OMLoX1Q_qZCWPd5-wT/view</x:v>
      </x:c>
    </x:row>
    <x:row r="40" ht="180" customHeight="1">
      <x:c r="A40" s="46" t="str">
        <x:v>QA-37</x:v>
      </x:c>
      <x:c r="B40" s="46" t="str">
        <x:v>Unchecked in source</x:v>
      </x:c>
      <x:c r="C40" s="46" t="str">
        <x:v>**Production operations:** When explicitly authorized, apply the prepared migrations and release/decommissioning changes, validate hosted Cloudflare/Supabase/domains and confirm public availability and recovery. No production operation is authorized by this checklist.</x:v>
      </x:c>
      <x:c r="D40" s="46" t="str">
        <x:v>DAT01,DAT02,DAT03,DAT04,DAT07,DAT08,DAT09,DAT10,DAT11,DAT12,LEG04,LEG05,LEG06,LEG07,LEG08,LEG09,OPS08,REL01,REL04,REL05,REL06,REL07,REL08,REL09,REL10</x:v>
      </x:c>
      <x:c r="E40" s="46" t="str">
        <x:v>Not revalidated as a final-candidate closure</x:v>
      </x:c>
      <x:c r="F40" s="46" t="str">
        <x:v>https://drive.google.com/file/d/1GcYfaSWxQqQBw2OMLoX1Q_qZCWPd5-wT/view</x:v>
      </x:c>
    </x:row>
  </x:sheetData>
  <x:mergeCells>
    <x:mergeCell ref="A1:F1"/>
  </x:mergeCells>
  <x:pageMargins left="0.7" right="0.7" top="0.75" bottom="0.75" header="0.3" footer="0.3"/>
  <x:tableParts count="1">
    <x:tablePart xmlns:r="http://schemas.openxmlformats.org/officeDocument/2006/relationships" r:id="R3eed11fbfc554e0a"/>
  </x:tableParts>
</x:worksheet>
</file>

<file path=xl/worksheets/sheet6.xml><?xml version="1.0" encoding="utf-8"?>
<x:worksheet xmlns:x="http://schemas.openxmlformats.org/spreadsheetml/2006/main">
  <x:sheetFormatPr defaultRowHeight="15"/>
  <x:cols>
    <x:col min="1" max="1" width="10" hidden="0" customWidth="1"/>
    <x:col min="2" max="2" width="36" hidden="0" customWidth="1"/>
    <x:col min="3" max="3" width="30" hidden="0" customWidth="1"/>
    <x:col min="4" max="4" width="40" hidden="0" customWidth="1"/>
    <x:col min="5" max="5" width="40" hidden="0" customWidth="1"/>
    <x:col min="6" max="6" width="16" hidden="0" customWidth="1"/>
  </x:cols>
  <x:sheetData>
    <x:row r="1" ht="32" customHeight="1">
      <x:c r="A1" s="39" t="str">
        <x:v>63 evidence and primary research entries | not 63 fully audited files</x:v>
      </x:c>
      <x:c r="B1" s="39"/>
      <x:c r="C1" s="39"/>
      <x:c r="D1" s="39"/>
      <x:c r="E1" s="39"/>
      <x:c r="F1" s="39"/>
    </x:row>
    <x:row r="3" ht="30" customHeight="1">
      <x:c r="A3" s="43" t="str">
        <x:v>ID</x:v>
      </x:c>
      <x:c r="B3" s="43" t="str">
        <x:v>Source</x:v>
      </x:c>
      <x:c r="C3" s="43" t="str">
        <x:v>Type</x:v>
      </x:c>
      <x:c r="D3" s="43" t="str">
        <x:v>What it supports / limitations</x:v>
      </x:c>
      <x:c r="E3" s="43" t="str">
        <x:v>Source URL or evidence path</x:v>
      </x:c>
      <x:c r="F3" s="43" t="str">
        <x:v>Checked date</x:v>
      </x:c>
    </x:row>
    <x:row r="4" ht="120" customHeight="1">
      <x:c r="A4" s="46" t="str">
        <x:v>E01</x:v>
      </x:c>
      <x:c r="B4" s="46" t="str">
        <x:v>Drive permission metadata</x:v>
      </x:c>
      <x:c r="C4" s="46" t="str">
        <x:v>Fresh connector metadata</x:v>
      </x:c>
      <x:c r="D4" s="46" t="str">
        <x:v>Root, web .env.local and Android upload-keystore.jks returned anyone/writer. Contents, active credentials and compromise were not inspected.</x:v>
      </x:c>
      <x:c r="E4" s="46" t="str">
        <x:v>evidence/permission_observations.json</x:v>
      </x:c>
      <x:c r="F4" s="46" t="str">
        <x:v>2026-09-27</x:v>
      </x:c>
    </x:row>
    <x:row r="5" ht="120" customHeight="1">
      <x:c r="A5" s="46" t="str">
        <x:v>E02</x:v>
      </x:c>
      <x:c r="B5" s="46" t="str">
        <x:v>Workspace manifest</x:v>
      </x:c>
      <x:c r="C5" s="46" t="str">
        <x:v>Current Drive source</x:v>
      </x:c>
      <x:c r="D5" s="46" t="str">
        <x:v>Five shells; Dart &gt;=3.10, Flutter &gt;=3.38, Melos 8.1.0; current scripts.</x:v>
      </x:c>
      <x:c r="E5" s="46" t="str">
        <x:v>https://drive.google.com/file/d/1NBjccCUL0GExYKlWVsGptSv3TttePFa7/view</x:v>
      </x:c>
      <x:c r="F5" s="46" t="str">
        <x:v>2026-09-27</x:v>
      </x:c>
    </x:row>
    <x:row r="6" ht="120" customHeight="1">
      <x:c r="A6" s="46" t="str">
        <x:v>E03</x:v>
      </x:c>
      <x:c r="B6" s="46" t="str">
        <x:v>Repository README</x:v>
      </x:c>
      <x:c r="C6" s="46" t="str">
        <x:v>Current Drive source</x:v>
      </x:c>
      <x:c r="D6" s="46" t="str">
        <x:v>Canonical five-club scope, tenant separation, Costa do Sol prerequisites.</x:v>
      </x:c>
      <x:c r="E6" s="46" t="str">
        <x:v>https://drive.google.com/file/d/1W-wB0714GR2PtTb01XldFYbQcFhL_1AC/view</x:v>
      </x:c>
      <x:c r="F6" s="46" t="str">
        <x:v>2026-09-27</x:v>
      </x:c>
    </x:row>
    <x:row r="7" ht="120" customHeight="1">
      <x:c r="A7" s="46" t="str">
        <x:v>E04</x:v>
      </x:c>
      <x:c r="B7" s="46" t="str">
        <x:v>Full-stack QA plan</x:v>
      </x:c>
      <x:c r="C7" s="46" t="str">
        <x:v>Current Drive source</x:v>
      </x:c>
      <x:c r="D7" s="46" t="str">
        <x:v>37-item checklist; three checked historical closures and 34 unchecked tasks; source narrative contains four/five-club drift.</x:v>
      </x:c>
      <x:c r="E7" s="46" t="str">
        <x:v>https://drive.google.com/file/d/1GcYfaSWxQqQBw2OMLoX1Q_qZCWPd5-wT/view</x:v>
      </x:c>
      <x:c r="F7" s="46" t="str">
        <x:v>2026-09-27</x:v>
      </x:c>
    </x:row>
    <x:row r="8" ht="120" customHeight="1">
      <x:c r="A8" s="46" t="str">
        <x:v>E05</x:v>
      </x:c>
      <x:c r="B8" s="46" t="str">
        <x:v>Release sign-off template</x:v>
      </x:c>
      <x:c r="C8" s="46" t="str">
        <x:v>Current Drive source</x:v>
      </x:c>
      <x:c r="D8" s="46" t="str">
        <x:v>Candidate and accountable sign-off fields remain blank.</x:v>
      </x:c>
      <x:c r="E8" s="46" t="str">
        <x:v>https://drive.google.com/file/d/1tMWvEOR1NtOKeLcOzacrMepubzmxr_If/view</x:v>
      </x:c>
      <x:c r="F8" s="46" t="str">
        <x:v>2026-09-27</x:v>
      </x:c>
    </x:row>
    <x:row r="9" ht="120" customHeight="1">
      <x:c r="A9" s="46" t="str">
        <x:v>E06</x:v>
      </x:c>
      <x:c r="B9" s="46" t="str">
        <x:v>Main CI workflow</x:v>
      </x:c>
      <x:c r="C9" s="46" t="str">
        <x:v>Current Drive source</x:v>
      </x:c>
      <x:c r="D9" s="46" t="str">
        <x:v>Existing Flutter/Supabase/web controls; release build jobs concentrate on Rayon; new migration suites not explicitly referenced.</x:v>
      </x:c>
      <x:c r="E9" s="46" t="str">
        <x:v>https://drive.google.com/file/d/1vza_RNiaP7bOgavHdtYifYUk4uYBoOXM/view</x:v>
      </x:c>
      <x:c r="F9" s="46" t="str">
        <x:v>2026-09-27</x:v>
      </x:c>
    </x:row>
    <x:row r="10" ht="120" customHeight="1">
      <x:c r="A10" s="46" t="str">
        <x:v>E07</x:v>
      </x:c>
      <x:c r="B10" s="46" t="str">
        <x:v>Standalone web deployment</x:v>
      </x:c>
      <x:c r="C10" s="46" t="str">
        <x:v>Current Drive source</x:v>
      </x:c>
      <x:c r="D10" s="46" t="str">
        <x:v>Direct build/deploy job lacks a typecheck step and declared job/environment dependency in this file. External protections not verified.</x:v>
      </x:c>
      <x:c r="E10" s="46" t="str">
        <x:v>https://drive.google.com/file/d/1JriJdKI5Zl66Zb0tcrD49U8vIXdk9_su/view</x:v>
      </x:c>
      <x:c r="F10" s="46" t="str">
        <x:v>2026-09-27</x:v>
      </x:c>
    </x:row>
    <x:row r="11" ht="120" customHeight="1">
      <x:c r="A11" s="46" t="str">
        <x:v>E08</x:v>
      </x:c>
      <x:c r="B11" s="46" t="str">
        <x:v>Next configuration</x:v>
      </x:c>
      <x:c r="C11" s="46" t="str">
        <x:v>Current Drive source</x:v>
      </x:c>
      <x:c r="D11" s="46" t="str">
        <x:v>ignoreBuildErrors true; security headers present; inline script allowance in production CSP.</x:v>
      </x:c>
      <x:c r="E11" s="46" t="str">
        <x:v>https://drive.google.com/file/d/1ylTZbAFeURan9Rk_8oJwsqd1YOKJDtAM/view</x:v>
      </x:c>
      <x:c r="F11" s="46" t="str">
        <x:v>2026-09-27</x:v>
      </x:c>
    </x:row>
    <x:row r="12" ht="120" customHeight="1">
      <x:c r="A12" s="46" t="str">
        <x:v>E09</x:v>
      </x:c>
      <x:c r="B12" s="46" t="str">
        <x:v>Web manifest</x:v>
      </x:c>
      <x:c r="C12" s="46" t="str">
        <x:v>Current Drive source</x:v>
      </x:c>
      <x:c r="D12" s="46" t="str">
        <x:v>Node &gt;=22.22.2&lt;23, npm &gt;=12&lt;13 and packageManager npm@12.0.2; scripts and dependency constraints.</x:v>
      </x:c>
      <x:c r="E12" s="46" t="str">
        <x:v>https://drive.google.com/file/d/1P7Dd9dMO4dT35M-va4qQIYwTgLVFUeCy/view</x:v>
      </x:c>
      <x:c r="F12" s="46" t="str">
        <x:v>2026-09-27</x:v>
      </x:c>
    </x:row>
    <x:row r="13" ht="120" customHeight="1">
      <x:c r="A13" s="46" t="str">
        <x:v>E10</x:v>
      </x:c>
      <x:c r="B13" s="46" t="str">
        <x:v>Web lockfile</x:v>
      </x:c>
      <x:c r="C13" s="46" t="str">
        <x:v>Current Drive source</x:v>
      </x:c>
      <x:c r="D13" s="46" t="str">
        <x:v>Static manifest/lock agreement; 1,107 entries; this is not a current advisory audit.</x:v>
      </x:c>
      <x:c r="E13" s="46" t="str">
        <x:v>https://drive.google.com/file/d/1VUEo8hN8J0fs0WNG9JAPTG6O0VDtudWi/view</x:v>
      </x:c>
      <x:c r="F13" s="46" t="str">
        <x:v>2026-09-27</x:v>
      </x:c>
    </x:row>
    <x:row r="14" ht="120" customHeight="1">
      <x:c r="A14" s="46" t="str">
        <x:v>E11</x:v>
      </x:c>
      <x:c r="B14" s="46" t="str">
        <x:v>Original repository boundary validator</x:v>
      </x:c>
      <x:c r="C14" s="46" t="str">
        <x:v>Current Drive source</x:v>
      </x:c>
      <x:c r="D14" s="46" t="str">
        <x:v>Current canonical validator rejects legacy tokens in inventory docs; does not consume exception registry.</x:v>
      </x:c>
      <x:c r="E14" s="46" t="str">
        <x:v>https://drive.google.com/file/d/1N23TLa4JwiI46dPwiWV3ODcISwmOJBRX/view</x:v>
      </x:c>
      <x:c r="F14" s="46" t="str">
        <x:v>2026-09-27</x:v>
      </x:c>
    </x:row>
    <x:row r="15" ht="120" customHeight="1">
      <x:c r="A15" s="46" t="str">
        <x:v>E12</x:v>
      </x:c>
      <x:c r="B15" s="46" t="str">
        <x:v>Legacy reference exceptions</x:v>
      </x:c>
      <x:c r="C15" s="46" t="str">
        <x:v>Current Drive source</x:v>
      </x:c>
      <x:c r="D15" s="46" t="str">
        <x:v>Three path/hash exceptions exist separately; original validator integration is absent.</x:v>
      </x:c>
      <x:c r="E15" s="46" t="str">
        <x:v>https://drive.google.com/file/d/1Q3q5yo7o0uB4_Dt_6hhBfdITNMBa7c6b/view</x:v>
      </x:c>
      <x:c r="F15" s="46" t="str">
        <x:v>2026-09-27</x:v>
      </x:c>
    </x:row>
    <x:row r="16" ht="120" customHeight="1">
      <x:c r="A16" s="46" t="str">
        <x:v>E13</x:v>
      </x:c>
      <x:c r="B16" s="46" t="str">
        <x:v>Current public reader</x:v>
      </x:c>
      <x:c r="C16" s="46" t="str">
        <x:v>Current Drive source</x:v>
      </x:c>
      <x:c r="D16" s="46" t="str">
        <x:v>Reads legacy source_records; global MAX timestamp; media precedes freshness and checks size without served-byte hash.</x:v>
      </x:c>
      <x:c r="E16" s="46" t="str">
        <x:v>https://drive.google.com/file/d/11HjHNGCFck0SiQGNHOWljw4Q-nxeMIPw/view</x:v>
      </x:c>
      <x:c r="F16" s="46" t="str">
        <x:v>2026-09-27</x:v>
      </x:c>
    </x:row>
    <x:row r="17" ht="120" customHeight="1">
      <x:c r="A17" s="46" t="str">
        <x:v>E14</x:v>
      </x:c>
      <x:c r="B17" s="46" t="str">
        <x:v>Public staging configuration</x:v>
      </x:c>
      <x:c r="C17" s="46" t="str">
        <x:v>Current Drive source</x:v>
      </x:c>
      <x:c r="D17" s="46" t="str">
        <x:v>Still selects src/index.mjs, not a revised sibling.</x:v>
      </x:c>
      <x:c r="E17" s="46" t="str">
        <x:v>https://drive.google.com/file/d/1H03mwkVQ6Rb8GQPIYMzFwSAcoVHNfLe2/view</x:v>
      </x:c>
      <x:c r="F17" s="46" t="str">
        <x:v>2026-09-27</x:v>
      </x:c>
    </x:row>
    <x:row r="18" ht="120" customHeight="1">
      <x:c r="A18" s="46" t="str">
        <x:v>E15</x:v>
      </x:c>
      <x:c r="B18" s="46" t="str">
        <x:v>Authorized publisher entrypoint</x:v>
      </x:c>
      <x:c r="C18" s="46" t="str">
        <x:v>Current Drive source</x:v>
      </x:c>
      <x:c r="D18" s="46" t="str">
        <x:v>Exports review, publish, head and publication; no session RPC.</x:v>
      </x:c>
      <x:c r="E18" s="46" t="str">
        <x:v>https://drive.google.com/file/d/1N64ubm9zvPe9X06KkhPKXlbD7gD3uPCH/view</x:v>
      </x:c>
      <x:c r="F18" s="46" t="str">
        <x:v>2026-09-27</x:v>
      </x:c>
    </x:row>
    <x:row r="19" ht="120" customHeight="1">
      <x:c r="A19" s="46" t="str">
        <x:v>E16</x:v>
      </x:c>
      <x:c r="B19" s="46" t="str">
        <x:v>Console integration instructions</x:v>
      </x:c>
      <x:c r="C19" s="46" t="str">
        <x:v>Current Drive source</x:v>
      </x:c>
      <x:c r="D19" s="46" t="str">
        <x:v>Names console config/worker not found in current listed locations; distinguishes offline DOM from real Access tests.</x:v>
      </x:c>
      <x:c r="E19" s="46" t="str">
        <x:v>https://drive.google.com/file/d/1xZTMg97Hq6fVXwtOgwZZghB8x38wPeCA/view</x:v>
      </x:c>
      <x:c r="F19" s="46" t="str">
        <x:v>2026-09-27</x:v>
      </x:c>
    </x:row>
    <x:row r="20" ht="120" customHeight="1">
      <x:c r="A20" s="46" t="str">
        <x:v>E17</x:v>
      </x:c>
      <x:c r="B20" s="46" t="str">
        <x:v>Console handler</x:v>
      </x:c>
      <x:c r="C20" s="46" t="str">
        <x:v>Current Drive source</x:v>
      </x:c>
      <x:c r="D20" s="46" t="str">
        <x:v>Calls PUBLIC_SOURCE_PUBLISHER.session, absent from the current named publisher wrapper.</x:v>
      </x:c>
      <x:c r="E20" s="46" t="str">
        <x:v>https://drive.google.com/file/d/1fgnPtcoK0sc6T5JVQxg8vAonL1QkuwAJ/view</x:v>
      </x:c>
      <x:c r="F20" s="46" t="str">
        <x:v>2026-09-27</x:v>
      </x:c>
    </x:row>
    <x:row r="21" ht="120" customHeight="1">
      <x:c r="A21" s="46" t="str">
        <x:v>E18</x:v>
      </x:c>
      <x:c r="B21" s="46" t="str">
        <x:v>Supporter membership gateway</x:v>
      </x:c>
      <x:c r="C21" s="46" t="str">
        <x:v>Current Drive source</x:v>
      </x:c>
      <x:c r="D21" s="46" t="str">
        <x:v>Native-only bearer gateway; cross-database revocation limitation; no five-shell installation.</x:v>
      </x:c>
      <x:c r="E21" s="46" t="str">
        <x:v>https://drive.google.com/file/d/1ZMOX3aVmWujKCYV_YahrkQ5NPbFXuY7h/view</x:v>
      </x:c>
      <x:c r="F21" s="46" t="str">
        <x:v>2026-09-27</x:v>
      </x:c>
    </x:row>
    <x:row r="22" ht="120" customHeight="1">
      <x:c r="A22" s="46" t="str">
        <x:v>E19</x:v>
      </x:c>
      <x:c r="B22" s="46" t="str">
        <x:v>Payment allocation module</x:v>
      </x:c>
      <x:c r="C22" s="46" t="str">
        <x:v>Current Drive source</x:v>
      </x:c>
      <x:c r="D22" s="46" t="str">
        <x:v>Atomic membership evidence core; contribution not fulfilled; provider trust, historic claims, downstream effects and cutover unfinished.</x:v>
      </x:c>
      <x:c r="E22" s="46" t="str">
        <x:v>https://drive.google.com/file/d/11c2iijJkMgVqUIhC9JivYi8vxb5prAsr/view</x:v>
      </x:c>
      <x:c r="F22" s="46" t="str">
        <x:v>2026-09-27</x:v>
      </x:c>
    </x:row>
    <x:row r="23" ht="120" customHeight="1">
      <x:c r="A23" s="46" t="str">
        <x:v>E20</x:v>
      </x:c>
      <x:c r="B23" s="46" t="str">
        <x:v>Allocation runtime policy</x:v>
      </x:c>
      <x:c r="C23" s="46" t="str">
        <x:v>Current Drive source</x:v>
      </x:c>
      <x:c r="D23" s="46" t="str">
        <x:v>Runtime refuses non-isolated-staging environment; strict evidence grammar.</x:v>
      </x:c>
      <x:c r="E23" s="46" t="str">
        <x:v>https://drive.google.com/file/d/1xBC0GmbHRGxECDyg0sSoYLxCLc5B19DJ/view</x:v>
      </x:c>
      <x:c r="F23" s="46" t="str">
        <x:v>2026-09-27</x:v>
      </x:c>
    </x:row>
    <x:row r="24" ht="120" customHeight="1">
      <x:c r="A24" s="46" t="str">
        <x:v>E21</x:v>
      </x:c>
      <x:c r="B24" s="46" t="str">
        <x:v>Native external dialer</x:v>
      </x:c>
      <x:c r="C24" s="46" t="str">
        <x:v>Current Drive source</x:v>
      </x:c>
      <x:c r="D24" s="46" t="str">
        <x:v>Opt-in Android/iOS tel launch for star/hash USSD; no carrier success guarantee.</x:v>
      </x:c>
      <x:c r="E24" s="46" t="str">
        <x:v>https://drive.google.com/file/d/1ttCHtZXH3pzDt9s7yAr6ks_D_gNMAGri/view</x:v>
      </x:c>
      <x:c r="F24" s="46" t="str">
        <x:v>2026-09-27</x:v>
      </x:c>
    </x:row>
    <x:row r="25" ht="120" customHeight="1">
      <x:c r="A25" s="46" t="str">
        <x:v>E22</x:v>
      </x:c>
      <x:c r="B25" s="46" t="str">
        <x:v>Android recovery runbook</x:v>
      </x:c>
      <x:c r="C25" s="46" t="str">
        <x:v>Current Drive source</x:v>
      </x:c>
      <x:c r="D25" s="46" t="str">
        <x:v>Portable Kotlin tested historically; host not registered/compiled; marker storage is not token storage; lost installation needs server authority.</x:v>
      </x:c>
      <x:c r="E25" s="46" t="str">
        <x:v>https://drive.google.com/file/d/1_kbo1JLlGEprI6QYIqdV0arMm2xJVSlG/view</x:v>
      </x:c>
      <x:c r="F25" s="46" t="str">
        <x:v>2026-09-27</x:v>
      </x:c>
    </x:row>
    <x:row r="26" ht="120" customHeight="1">
      <x:c r="A26" s="46" t="str">
        <x:v>E23</x:v>
      </x:c>
      <x:c r="B26" s="46" t="str">
        <x:v>Predict economics gate</x:v>
      </x:c>
      <x:c r="C26" s="46" t="str">
        <x:v>Current Drive source</x:v>
      </x:c>
      <x:c r="D26" s="46" t="str">
        <x:v>Conservative free-entry/no-debit contract pending accountable alternative approval; historical evidence preserved.</x:v>
      </x:c>
      <x:c r="E26" s="46" t="str">
        <x:v>https://drive.google.com/file/d/17ycbTO5tfhGoKOFEnqrDMmIud2MmIQWJ/view</x:v>
      </x:c>
      <x:c r="F26" s="46" t="str">
        <x:v>2026-09-27</x:v>
      </x:c>
    </x:row>
    <x:row r="27" ht="120" customHeight="1">
      <x:c r="A27" s="46" t="str">
        <x:v>E24</x:v>
      </x:c>
      <x:c r="B27" s="46" t="str">
        <x:v>Route-state evidence register</x:v>
      </x:c>
      <x:c r="C27" s="46" t="str">
        <x:v>Current Drive source</x:v>
      </x:c>
      <x:c r="D27" s="46" t="str">
        <x:v>Current register has empty cells/groups; other evidence may exist in output.</x:v>
      </x:c>
      <x:c r="E27" s="46" t="str">
        <x:v>https://drive.google.com/file/d/1KkJEsNxovRx5wc2t8-4lAop2kWgtyKCy/view</x:v>
      </x:c>
      <x:c r="F27" s="46" t="str">
        <x:v>2026-09-27</x:v>
      </x:c>
    </x:row>
    <x:row r="28" ht="120" customHeight="1">
      <x:c r="A28" s="46" t="str">
        <x:v>E25</x:v>
      </x:c>
      <x:c r="B28" s="46" t="str">
        <x:v>Build evidence bundles</x:v>
      </x:c>
      <x:c r="C28" s="46" t="str">
        <x:v>Current Drive source</x:v>
      </x:c>
      <x:c r="D28" s="46" t="str">
        <x:v>Current bundles array is empty; not an assertion all evidence is missing.</x:v>
      </x:c>
      <x:c r="E28" s="46" t="str">
        <x:v>https://drive.google.com/file/d/1XJd-1UsYp-8CKMsBKpW5Cqs_h875Ur2T/view</x:v>
      </x:c>
      <x:c r="F28" s="46" t="str">
        <x:v>2026-09-27</x:v>
      </x:c>
    </x:row>
    <x:row r="29" ht="120" customHeight="1">
      <x:c r="A29" s="46" t="str">
        <x:v>E26</x:v>
      </x:c>
      <x:c r="B29" s="46" t="str">
        <x:v>Module registry</x:v>
      </x:c>
      <x:c r="C29" s="46" t="str">
        <x:v>Current Drive source</x:v>
      </x:c>
      <x:c r="D29" s="46" t="str">
        <x:v>Shared composition and compile-time internal-admin boundary retained; runtime/config precedence needs full guard verification.</x:v>
      </x:c>
      <x:c r="E29" s="46" t="str">
        <x:v>https://drive.google.com/file/d/1kqV4YJGJ6gt1RTaLghwgLalHullsAqaD/view</x:v>
      </x:c>
      <x:c r="F29" s="46" t="str">
        <x:v>2026-09-27</x:v>
      </x:c>
    </x:row>
    <x:row r="30" ht="120" customHeight="1">
      <x:c r="A30" s="46" t="str">
        <x:v>E27</x:v>
      </x:c>
      <x:c r="B30" s="46" t="str">
        <x:v>Small disposition CSV</x:v>
      </x:c>
      <x:c r="C30" s="46" t="str">
        <x:v>Current Drive source</x:v>
      </x:c>
      <x:c r="D30" s="46" t="str">
        <x:v>Seven aggregate rows, not exhaustive per-object migration disposition.</x:v>
      </x:c>
      <x:c r="E30" s="46" t="str">
        <x:v>https://drive.google.com/file/d/1PpYe-2H6Ssj1jFJZ3SnL8PFgTq5ewxuU/view</x:v>
      </x:c>
      <x:c r="F30" s="46" t="str">
        <x:v>2026-09-27</x:v>
      </x:c>
    </x:row>
    <x:row r="31" ht="120" customHeight="1">
      <x:c r="A31" s="46" t="str">
        <x:v>H01</x:v>
      </x:c>
      <x:c r="B31" s="46" t="str">
        <x:v>Dated migration inventory</x:v>
      </x:c>
      <x:c r="C31" s="46" t="str">
        <x:v>Current document reporting historical execution</x:v>
      </x:c>
      <x:c r="D31" s="46" t="str">
        <x:v>September 25 record: 197 tables,342 functions,354 policies,198 triggers; 18 local and 18 deployed functions differ; 6 cron jobs; restore progress and 8 media originals outstanding.</x:v>
      </x:c>
      <x:c r="E31" s="46" t="str">
        <x:v>https://drive.google.com/file/d/1-7B4JcFcWG3OrLUhBamPvNLURFKqU5Kl/view</x:v>
      </x:c>
      <x:c r="F31" s="46" t="str">
        <x:v>2026-09-27</x:v>
      </x:c>
    </x:row>
    <x:row r="32" ht="120" customHeight="1">
      <x:c r="A32" s="46" t="str">
        <x:v>H02</x:v>
      </x:c>
      <x:c r="B32" s="46" t="str">
        <x:v>Migration plan</x:v>
      </x:c>
      <x:c r="C32" s="46" t="str">
        <x:v>Current document reporting historical execution</x:v>
      </x:c>
      <x:c r="D32" s="46" t="str">
        <x:v>Target architecture, one-writer sequencing, preservation and behavior migration requirements.</x:v>
      </x:c>
      <x:c r="E32" s="46" t="str">
        <x:v>https://drive.google.com/file/d/1qvzgD7D9aBc4NVM3ycZQF-l4sDPBjttu/view</x:v>
      </x:c>
      <x:c r="F32" s="46" t="str">
        <x:v>2026-09-27</x:v>
      </x:c>
    </x:row>
    <x:row r="33" ht="120" customHeight="1">
      <x:c r="A33" s="46" t="str">
        <x:v>H03</x:v>
      </x:c>
      <x:c r="B33" s="46" t="str">
        <x:v>Historical dependency remediation</x:v>
      </x:c>
      <x:c r="C33" s="46" t="str">
        <x:v>Current document reporting historical execution</x:v>
      </x:c>
      <x:c r="D33" s="46" t="str">
        <x:v>September 15 advisory closure and hosted startup failure; not current production/CI proof.</x:v>
      </x:c>
      <x:c r="E33" s="46" t="str">
        <x:v>https://drive.google.com/file/d/1xy5Lic4pGXeSYmeLiV2Hx6xN4RdmnABB/view</x:v>
      </x:c>
      <x:c r="F33" s="46" t="str">
        <x:v>2026-09-27</x:v>
      </x:c>
    </x:row>
    <x:row r="34" ht="120" customHeight="1">
      <x:c r="A34" s="46" t="str">
        <x:v>H04</x:v>
      </x:c>
      <x:c r="B34" s="46" t="str">
        <x:v>Source recovery and rollback runbook</x:v>
      </x:c>
      <x:c r="C34" s="46" t="str">
        <x:v>Current document reporting historical execution</x:v>
      </x:c>
      <x:c r="D34" s="46" t="str">
        <x:v>Forward-only reconciliation, isolated restore rehearsal and accountable change control.</x:v>
      </x:c>
      <x:c r="E34" s="46" t="str">
        <x:v>https://drive.google.com/file/d/1HCfvyfWCOdyLeLqE2nbIi-19k25Ztfeq/view</x:v>
      </x:c>
      <x:c r="F34" s="46" t="str">
        <x:v>2026-09-27</x:v>
      </x:c>
    </x:row>
    <x:row r="35" ht="120" customHeight="1">
      <x:c r="A35" s="46" t="str">
        <x:v>H05</x:v>
      </x:c>
      <x:c r="B35" s="46" t="str">
        <x:v>QA progress evidence</x:v>
      </x:c>
      <x:c r="C35" s="46" t="str">
        <x:v>Current document reporting historical execution</x:v>
      </x:c>
      <x:c r="D35" s="46" t="str">
        <x:v>Dated source-bound passing and failing runs, historical owner approval and NO-GO status; counters are not current cumulative results.</x:v>
      </x:c>
      <x:c r="E35" s="46" t="str">
        <x:v>https://drive.google.com/file/d/1NzhIdmIDQc_Gm6Q6t4Lk5qzkyquGhemD/view</x:v>
      </x:c>
      <x:c r="F35" s="46" t="str">
        <x:v>2026-09-27</x:v>
      </x:c>
    </x:row>
    <x:row r="36" ht="120" customHeight="1">
      <x:c r="A36" s="46" t="str">
        <x:v>E28</x:v>
      </x:c>
      <x:c r="B36" s="46" t="str">
        <x:v>Native folder installation check</x:v>
      </x:c>
      <x:c r="C36" s="46" t="str">
        <x:v>Fresh Drive folder listing</x:v>
      </x:c>
      <x:c r="D36" s="46" t="str">
        <x:v>Current listing contains android only. iOS Batch 12 is preserved in an archive, not observed installed at its intended source path.</x:v>
      </x:c>
      <x:c r="E36" s="46" t="str">
        <x:v>/Google Drive/AFRICLUB/packages/features/feat_membership/native</x:v>
      </x:c>
      <x:c r="F36" s="46" t="str">
        <x:v>2026-09-27</x:v>
      </x:c>
    </x:row>
    <x:row r="37" ht="120" customHeight="1">
      <x:c r="A37" s="46" t="str">
        <x:v>E29</x:v>
      </x:c>
      <x:c r="B37" s="46" t="str">
        <x:v>Operator root/src installation check</x:v>
      </x:c>
      <x:c r="C37" s="46" t="str">
        <x:v>Fresh Drive folder listings</x:v>
      </x:c>
      <x:c r="D37" s="46" t="str">
        <x:v>Expected wrangler.console.staging.jsonc and src/console-worker.mjs not in the scoped listings; console-handler.mjs exists.</x:v>
      </x:c>
      <x:c r="E37" s="46" t="str">
        <x:v>/Google Drive/AFRICLUB/cloudflare/operator-api/</x:v>
      </x:c>
      <x:c r="F37" s="46" t="str">
        <x:v>2026-09-27</x:v>
      </x:c>
    </x:row>
    <x:row r="38" ht="120" customHeight="1">
      <x:c r="A38" s="46" t="str">
        <x:v>E30</x:v>
      </x:c>
      <x:c r="B38" s="46" t="str">
        <x:v>Pinned tool versions</x:v>
      </x:c>
      <x:c r="C38" s="46" t="str">
        <x:v>Fresh Drive source read</x:v>
      </x:c>
      <x:c r="D38" s="46" t="str">
        <x:v>Current .fvmrc=3.44.9; .nvmrc=22.23.2; packageManager=npm@12.0.2. Audit Node=22.16.0 is not the web build pin.</x:v>
      </x:c>
      <x:c r="E38" s="46" t="str">
        <x:v>.fvmrc; .nvmrc</x:v>
      </x:c>
      <x:c r="F38" s="46" t="str">
        <x:v>2026-09-27</x:v>
      </x:c>
    </x:row>
    <x:row r="39" ht="120" customHeight="1">
      <x:c r="A39" s="46" t="str">
        <x:v>E31</x:v>
      </x:c>
      <x:c r="B39" s="46" t="str">
        <x:v>GitHub workflow verification attempt</x:v>
      </x:c>
      <x:c r="C39" s="46" t="str">
        <x:v>Connector read limitation</x:v>
      </x:c>
      <x:c r="D39" s="46" t="str">
        <x:v>Connected read returned 404. Current CI status/branch protection/billing cause could not be verified; absence/deletion is not concluded.</x:v>
      </x:c>
      <x:c r="E39" s="46" t="str">
        <x:v>https://api.github.com/repos/IKANISA1/AFRIFAN/actions/runs?per_page=5</x:v>
      </x:c>
      <x:c r="F39" s="46" t="str">
        <x:v>2026-09-27</x:v>
      </x:c>
    </x:row>
    <x:row r="40" ht="120" customHeight="1">
      <x:c r="A40" s="46" t="str">
        <x:v>X01</x:v>
      </x:c>
      <x:c r="B40" s="46" t="str">
        <x:v>Public reader behavior probes</x:v>
      </x:c>
      <x:c r="C40" s="46" t="str">
        <x:v>Fresh isolated execution</x:v>
      </x:c>
      <x:c r="D40" s="46" t="str">
        <x:v>Four exact-source synthetic cases: stale control rejected; mixed capture accepted; stale media accepted; wrong same-length media accepted. No live endpoint called.</x:v>
      </x:c>
      <x:c r="E40" s="46" t="str">
        <x:v>evidence/public_reader_probe_results.json</x:v>
      </x:c>
      <x:c r="F40" s="46" t="str">
        <x:v>2026-09-27</x:v>
      </x:c>
    </x:row>
    <x:row r="41" ht="120" customHeight="1">
      <x:c r="A41" s="46" t="str">
        <x:v>X02</x:v>
      </x:c>
      <x:c r="B41" s="46" t="str">
        <x:v>Boundary validator probes</x:v>
      </x:c>
      <x:c r="C41" s="46" t="str">
        <x:v>Fresh isolated execution</x:v>
      </x:c>
      <x:c r="D41" s="46" t="str">
        <x:v>Baseline passes; adding exact current migration plan or inventory fails. Not a whole-repo CI execution.</x:v>
      </x:c>
      <x:c r="E41" s="46" t="str">
        <x:v>evidence/boundary_probe_results.json</x:v>
      </x:c>
      <x:c r="F41" s="46" t="str">
        <x:v>2026-09-27</x:v>
      </x:c>
    </x:row>
    <x:row r="42" ht="120" customHeight="1">
      <x:c r="A42" s="46" t="str">
        <x:v>X03</x:v>
      </x:c>
      <x:c r="B42" s="46" t="str">
        <x:v>Workflow and dependency inspection</x:v>
      </x:c>
      <x:c r="C42" s="46" t="str">
        <x:v>Fresh static analysis</x:v>
      </x:c>
      <x:c r="D42" s="46" t="str">
        <x:v>Workflow reachability, manifest/lock agreement and versions; no dependency installation, audit or full build.</x:v>
      </x:c>
      <x:c r="E42" s="46" t="str">
        <x:v>evidence/ci_static_findings.json; evidence/dependency_manifest_probe.json</x:v>
      </x:c>
      <x:c r="F42" s="46" t="str">
        <x:v>2026-09-27</x:v>
      </x:c>
    </x:row>
    <x:row r="43" ht="120" customHeight="1">
      <x:c r="A43" s="46" t="str">
        <x:v>R01</x:v>
      </x:c>
      <x:c r="B43" s="46" t="str">
        <x:v>Google Drive permission semantics</x:v>
      </x:c>
      <x:c r="C43" s="46" t="str">
        <x:v>External primary-source research</x:v>
      </x:c>
      <x:c r="D43" s="46" t="str">
        <x:v>Anyone/writer and allowFileDiscovery describe access and search discoverability separately.</x:v>
      </x:c>
      <x:c r="E43" s="46" t="str">
        <x:v>https://developers.google.com/workspace/drive/api/reference/rest/v3/permissions</x:v>
      </x:c>
      <x:c r="F43" s="46" t="str">
        <x:v>2026-09-27</x:v>
      </x:c>
    </x:row>
    <x:row r="44" ht="120" customHeight="1">
      <x:c r="A44" s="46" t="str">
        <x:v>R02</x:v>
      </x:c>
      <x:c r="B44" s="46" t="str">
        <x:v>GitHub Actions secure use</x:v>
      </x:c>
      <x:c r="C44" s="46" t="str">
        <x:v>External primary-source research</x:v>
      </x:c>
      <x:c r="D44" s="46" t="str">
        <x:v>Pin external actions to full commit SHAs; least privileges and protected deployment credentials.</x:v>
      </x:c>
      <x:c r="E44" s="46" t="str">
        <x:v>https://docs.github.com/en/actions/reference/security/secure-use</x:v>
      </x:c>
      <x:c r="F44" s="46" t="str">
        <x:v>2026-09-27</x:v>
      </x:c>
    </x:row>
    <x:row r="45" ht="120" customHeight="1">
      <x:c r="A45" s="46" t="str">
        <x:v>R03</x:v>
      </x:c>
      <x:c r="B45" s="46" t="str">
        <x:v>GitHub deployment environments</x:v>
      </x:c>
      <x:c r="C45" s="46" t="str">
        <x:v>External primary-source research</x:v>
      </x:c>
      <x:c r="D45" s="46" t="str">
        <x:v>Approval and deployment protections; repository source alone does not prove settings.</x:v>
      </x:c>
      <x:c r="E45" s="46" t="str">
        <x:v>https://docs.github.com/en/actions/reference/workflows-and-actions/deployments-and-environments</x:v>
      </x:c>
      <x:c r="F45" s="46" t="str">
        <x:v>2026-09-27</x:v>
      </x:c>
    </x:row>
    <x:row r="46" ht="120" customHeight="1">
      <x:c r="A46" s="46" t="str">
        <x:v>R04</x:v>
      </x:c>
      <x:c r="B46" s="46" t="str">
        <x:v>Next.js TypeScript build behavior</x:v>
      </x:c>
      <x:c r="C46" s="46" t="str">
        <x:v>External primary-source research</x:v>
      </x:c>
      <x:c r="D46" s="46" t="str">
        <x:v>ignoreBuildErrors needs an independent mandatory typecheck gate.</x:v>
      </x:c>
      <x:c r="E46" s="46" t="str">
        <x:v>https://nextjs.org/docs/app/api-reference/config/next-config-js/typescript</x:v>
      </x:c>
      <x:c r="F46" s="46" t="str">
        <x:v>2026-09-27</x:v>
      </x:c>
    </x:row>
    <x:row r="47" ht="120" customHeight="1">
      <x:c r="A47" s="46" t="str">
        <x:v>R05</x:v>
      </x:c>
      <x:c r="B47" s="46" t="str">
        <x:v>Cloudflare D1 limits</x:v>
      </x:c>
      <x:c r="C47" s="46" t="str">
        <x:v>External primary-source research</x:v>
      </x:c>
      <x:c r="D47" s="46" t="str">
        <x:v>10 GB paid database cap; single-thread per database; 100 bound parameters and batch execution constraints.</x:v>
      </x:c>
      <x:c r="E47" s="46" t="str">
        <x:v>https://developers.cloudflare.com/d1/platform/limits/</x:v>
      </x:c>
      <x:c r="F47" s="46" t="str">
        <x:v>2026-09-27</x:v>
      </x:c>
    </x:row>
    <x:row r="48" ht="120" customHeight="1">
      <x:c r="A48" s="46" t="str">
        <x:v>R06</x:v>
      </x:c>
      <x:c r="B48" s="46" t="str">
        <x:v>Cloudflare D1 batch and sessions</x:v>
      </x:c>
      <x:c r="C48" s="46" t="str">
        <x:v>External primary-source research</x:v>
      </x:c>
      <x:c r="D48" s="46" t="str">
        <x:v>Batch rollback and session consistency within D1; no cross-database atomicity claim.</x:v>
      </x:c>
      <x:c r="E48" s="46" t="str">
        <x:v>https://developers.cloudflare.com/d1/worker-api/d1-database/</x:v>
      </x:c>
      <x:c r="F48" s="46" t="str">
        <x:v>2026-09-27</x:v>
      </x:c>
    </x:row>
    <x:row r="49" ht="120" customHeight="1">
      <x:c r="A49" s="46" t="str">
        <x:v>R07</x:v>
      </x:c>
      <x:c r="B49" s="46" t="str">
        <x:v>Cloudflare D1 data location</x:v>
      </x:c>
      <x:c r="C49" s="46" t="str">
        <x:v>External primary-source research</x:v>
      </x:c>
      <x:c r="D49" s="46" t="str">
        <x:v>Africa is not a D1 database location in the retrieved documentation; location hints are not guarantees; jurisdictions chosen at creation.</x:v>
      </x:c>
      <x:c r="E49" s="46" t="str">
        <x:v>https://developers.cloudflare.com/d1/configuration/data-location/</x:v>
      </x:c>
      <x:c r="F49" s="46" t="str">
        <x:v>2026-09-27</x:v>
      </x:c>
    </x:row>
    <x:row r="50" ht="120" customHeight="1">
      <x:c r="A50" s="46" t="str">
        <x:v>R08</x:v>
      </x:c>
      <x:c r="B50" s="46" t="str">
        <x:v>Cloudflare Access context</x:v>
      </x:c>
      <x:c r="C50" s="46" t="str">
        <x:v>External primary-source research</x:v>
      </x:c>
      <x:c r="D50" s="46" t="str">
        <x:v>Direct request context and private-RPC/static-assets limitations need actual deployment tests.</x:v>
      </x:c>
      <x:c r="E50" s="46" t="str">
        <x:v>https://developers.cloudflare.com/workers/configuration/cloudflare-access/</x:v>
      </x:c>
      <x:c r="F50" s="46" t="str">
        <x:v>2026-09-27</x:v>
      </x:c>
    </x:row>
    <x:row r="51" ht="120" customHeight="1">
      <x:c r="A51" s="46" t="str">
        <x:v>R09</x:v>
      </x:c>
      <x:c r="B51" s="46" t="str">
        <x:v>Cloudflare Queue delivery guarantees</x:v>
      </x:c>
      <x:c r="C51" s="46" t="str">
        <x:v>External primary-source research</x:v>
      </x:c>
      <x:c r="D51" s="46" t="str">
        <x:v>At-least-once delivery requires idempotent effects and replay handling.</x:v>
      </x:c>
      <x:c r="E51" s="46" t="str">
        <x:v>https://developers.cloudflare.com/queues/reference/delivery-guarantees/</x:v>
      </x:c>
      <x:c r="F51" s="46" t="str">
        <x:v>2026-09-27</x:v>
      </x:c>
    </x:row>
    <x:row r="52" ht="120" customHeight="1">
      <x:c r="A52" s="46" t="str">
        <x:v>R10</x:v>
      </x:c>
      <x:c r="B52" s="46" t="str">
        <x:v>Supabase backups</x:v>
      </x:c>
      <x:c r="C52" s="46" t="str">
        <x:v>External primary-source research</x:v>
      </x:c>
      <x:c r="D52" s="46" t="str">
        <x:v>Database backups do not include Storage object originals.</x:v>
      </x:c>
      <x:c r="E52" s="46" t="str">
        <x:v>https://supabase.com/docs/guides/platform/backups</x:v>
      </x:c>
      <x:c r="F52" s="46" t="str">
        <x:v>2026-09-27</x:v>
      </x:c>
    </x:row>
    <x:row r="53" ht="120" customHeight="1">
      <x:c r="A53" s="46" t="str">
        <x:v>R11</x:v>
      </x:c>
      <x:c r="B53" s="46" t="str">
        <x:v>OWASP ASVS</x:v>
      </x:c>
      <x:c r="C53" s="46" t="str">
        <x:v>External primary-source research</x:v>
      </x:c>
      <x:c r="D53" s="46" t="str">
        <x:v>Select traceable web/API requirements; no checklist certification implied.</x:v>
      </x:c>
      <x:c r="E53" s="46" t="str">
        <x:v>https://owasp.org/www-project-application-security-verification-standard/</x:v>
      </x:c>
      <x:c r="F53" s="46" t="str">
        <x:v>2026-09-27</x:v>
      </x:c>
    </x:row>
    <x:row r="54" ht="120" customHeight="1">
      <x:c r="A54" s="46" t="str">
        <x:v>R12</x:v>
      </x:c>
      <x:c r="B54" s="46" t="str">
        <x:v>OWASP MASVS</x:v>
      </x:c>
      <x:c r="C54" s="46" t="str">
        <x:v>External primary-source research</x:v>
      </x:c>
      <x:c r="D54" s="46" t="str">
        <x:v>Verify native storage, authentication, networking and platform controls on target devices.</x:v>
      </x:c>
      <x:c r="E54" s="46" t="str">
        <x:v>https://mas.owasp.org/MASVS/</x:v>
      </x:c>
      <x:c r="F54" s="46" t="str">
        <x:v>2026-09-27</x:v>
      </x:c>
    </x:row>
    <x:row r="55" ht="120" customHeight="1">
      <x:c r="A55" s="46" t="str">
        <x:v>R13</x:v>
      </x:c>
      <x:c r="B55" s="46" t="str">
        <x:v>NIST SP 800-63B-4</x:v>
      </x:c>
      <x:c r="C55" s="46" t="str">
        <x:v>External primary-source research</x:v>
      </x:c>
      <x:c r="D55" s="46" t="str">
        <x:v>Manual-code authentication is not phishing-resistant; risk benchmark rather than automatic legal obligation.</x:v>
      </x:c>
      <x:c r="E55" s="46" t="str">
        <x:v>https://pages.nist.gov/800-63-4/sp800-63b.html</x:v>
      </x:c>
      <x:c r="F55" s="46" t="str">
        <x:v>2026-09-27</x:v>
      </x:c>
    </x:row>
    <x:row r="56" ht="120" customHeight="1">
      <x:c r="A56" s="46" t="str">
        <x:v>R14</x:v>
      </x:c>
      <x:c r="B56" s="46" t="str">
        <x:v>Apple phone-link behavior (archived)</x:v>
      </x:c>
      <x:c r="C56" s="46" t="str">
        <x:v>External primary-source research</x:v>
      </x:c>
      <x:c r="D56" s="46" t="str">
        <x:v>Archived Apple guidance says tel strings containing star/hash are not dialed; this is a compatibility warning, not a new iPhone test.</x:v>
      </x:c>
      <x:c r="E56" s="46" t="str">
        <x:v>https://developer.apple.com/library/archive/featuredarticles/iPhoneURLScheme_Reference/PhoneLinks/PhoneLinks.html</x:v>
      </x:c>
      <x:c r="F56" s="46" t="str">
        <x:v>2026-09-27</x:v>
      </x:c>
    </x:row>
    <x:row r="57" ht="120" customHeight="1">
      <x:c r="A57" s="46" t="str">
        <x:v>R15</x:v>
      </x:c>
      <x:c r="B57" s="46" t="str">
        <x:v>Android app signing</x:v>
      </x:c>
      <x:c r="C57" s="46" t="str">
        <x:v>External primary-source research</x:v>
      </x:c>
      <x:c r="D57" s="46" t="str">
        <x:v>Distinguish resettable upload keys from application signing identity before response actions.</x:v>
      </x:c>
      <x:c r="E57" s="46" t="str">
        <x:v>https://developer.android.com/studio/publish/app-signing</x:v>
      </x:c>
      <x:c r="F57" s="46" t="str">
        <x:v>2026-09-27</x:v>
      </x:c>
    </x:row>
    <x:row r="58" ht="120" customHeight="1">
      <x:c r="A58" s="46" t="str">
        <x:v>R16</x:v>
      </x:c>
      <x:c r="B58" s="46" t="str">
        <x:v>Apple App Review Guidelines</x:v>
      </x:c>
      <x:c r="C58" s="46" t="str">
        <x:v>External primary-source research</x:v>
      </x:c>
      <x:c r="D58" s="46" t="str">
        <x:v>Template/content-provider submission, product-specific payment rules, privacy and release requirements.</x:v>
      </x:c>
      <x:c r="E58" s="46" t="str">
        <x:v>https://developer.apple.com/app-store/review/guidelines/</x:v>
      </x:c>
      <x:c r="F58" s="46" t="str">
        <x:v>2026-09-27</x:v>
      </x:c>
    </x:row>
    <x:row r="59" ht="120" customHeight="1">
      <x:c r="A59" s="46" t="str">
        <x:v>R17</x:v>
      </x:c>
      <x:c r="B59" s="46" t="str">
        <x:v>Apple account deletion</x:v>
      </x:c>
      <x:c r="C59" s="46" t="str">
        <x:v>External primary-source research</x:v>
      </x:c>
      <x:c r="D59" s="46" t="str">
        <x:v>Account creation requires an in-app deletion initiation route; legal retention and completion communication matter.</x:v>
      </x:c>
      <x:c r="E59" s="46" t="str">
        <x:v>https://developer.apple.com/support/offering-account-deletion-in-your-app</x:v>
      </x:c>
      <x:c r="F59" s="46" t="str">
        <x:v>2026-09-27</x:v>
      </x:c>
    </x:row>
    <x:row r="60" ht="120" customHeight="1">
      <x:c r="A60" s="46" t="str">
        <x:v>R18</x:v>
      </x:c>
      <x:c r="B60" s="46" t="str">
        <x:v>Google Play gambling and loyalty policy</x:v>
      </x:c>
      <x:c r="C60" s="46" t="str">
        <x:v>External primary-source research</x:v>
      </x:c>
      <x:c r="D60" s="46" t="str">
        <x:v>Product-specific review of loyalty, prizes, paid entry and value; no gambling classification asserted by this audit.</x:v>
      </x:c>
      <x:c r="E60" s="46" t="str">
        <x:v>https://support.google.com/googleplay/android-developer/answer/9877032/</x:v>
      </x:c>
      <x:c r="F60" s="46" t="str">
        <x:v>2026-09-27</x:v>
      </x:c>
    </x:row>
    <x:row r="61" ht="120" customHeight="1">
      <x:c r="A61" s="46" t="str">
        <x:v>R19</x:v>
      </x:c>
      <x:c r="B61" s="46" t="str">
        <x:v>WCAG 2.2</x:v>
      </x:c>
      <x:c r="C61" s="46" t="str">
        <x:v>External primary-source research</x:v>
      </x:c>
      <x:c r="D61" s="46" t="str">
        <x:v>Accessibility test criteria including focus, reflow and inputs; human reader tests remain necessary.</x:v>
      </x:c>
      <x:c r="E61" s="46" t="str">
        <x:v>https://www.w3.org/TR/WCAG22/</x:v>
      </x:c>
      <x:c r="F61" s="46" t="str">
        <x:v>2026-09-27</x:v>
      </x:c>
    </x:row>
    <x:row r="62" ht="120" customHeight="1">
      <x:c r="A62" s="46" t="str">
        <x:v>R20</x:v>
      </x:c>
      <x:c r="B62" s="46" t="str">
        <x:v>Core Web Vitals</x:v>
      </x:c>
      <x:c r="C62" s="46" t="str">
        <x:v>External primary-source research</x:v>
      </x:c>
      <x:c r="D62" s="46" t="str">
        <x:v>p75 LCP &lt;=2.5s, INP &lt;=200ms, CLS &lt;=0.1; field evidence differs from Lighthouse.</x:v>
      </x:c>
      <x:c r="E62" s="46" t="str">
        <x:v>https://web.dev/articles/vitals</x:v>
      </x:c>
      <x:c r="F62" s="46" t="str">
        <x:v>2026-09-27</x:v>
      </x:c>
    </x:row>
    <x:row r="63" ht="120" customHeight="1">
      <x:c r="A63" s="46" t="str">
        <x:v>R21</x:v>
      </x:c>
      <x:c r="B63" s="46" t="str">
        <x:v>Rwanda DPO cloud storage guidance</x:v>
      </x:c>
      <x:c r="C63" s="46" t="str">
        <x:v>External primary-source research</x:v>
      </x:c>
      <x:c r="D63" s="46" t="str">
        <x:v>Offshore personal-data storage requires NCSA authorization among other requirements; published July 25, 2025.</x:v>
      </x:c>
      <x:c r="E63" s="46" t="str">
        <x:v>https://dpo.gov.rw/news-and-updates/news/article/cloud-storage-under-rwandas-data-protection-law-what-you-need-to-know</x:v>
      </x:c>
      <x:c r="F63" s="46" t="str">
        <x:v>2026-09-27</x:v>
      </x:c>
    </x:row>
    <x:row r="64" ht="120" customHeight="1">
      <x:c r="A64" s="46" t="str">
        <x:v>R22</x:v>
      </x:c>
      <x:c r="B64" s="46" t="str">
        <x:v>Zambia DPC registration</x:v>
      </x:c>
      <x:c r="C64" s="46" t="str">
        <x:v>External primary-source research</x:v>
      </x:c>
      <x:c r="D64" s="46" t="str">
        <x:v>Official controller/processor registration materials; applicability and cross-border obligations require case review.</x:v>
      </x:c>
      <x:c r="E64" s="46" t="str">
        <x:v>https://www.dataprotection.gov.zm/registration/</x:v>
      </x:c>
      <x:c r="F64" s="46" t="str">
        <x:v>2026-09-27</x:v>
      </x:c>
    </x:row>
    <x:row r="65" ht="120" customHeight="1">
      <x:c r="A65" s="46" t="str">
        <x:v>R23</x:v>
      </x:c>
      <x:c r="B65" s="46" t="str">
        <x:v>Cloudflare Hyperdrive/PostgreSQL option</x:v>
      </x:c>
      <x:c r="C65" s="46" t="str">
        <x:v>External primary-source research</x:v>
      </x:c>
      <x:c r="D65" s="46" t="str">
        <x:v>Workers can connect to PostgreSQL; fallback architectural option, not an approved change to target migration.</x:v>
      </x:c>
      <x:c r="E65" s="46" t="str">
        <x:v>https://developers.cloudflare.com/hyperdrive/examples/connect-to-postgres/</x:v>
      </x:c>
      <x:c r="F65" s="46" t="str">
        <x:v>2026-09-27</x:v>
      </x:c>
    </x:row>
    <x:row r="66" ht="120" customHeight="1">
      <x:c r="A66" s="46" t="str">
        <x:v>R24</x:v>
      </x:c>
      <x:c r="B66" s="46" t="str">
        <x:v>Android Keystore</x:v>
      </x:c>
      <x:c r="C66" s="46" t="str">
        <x:v>External primary-source research</x:v>
      </x:c>
      <x:c r="D66" s="46" t="str">
        <x:v>Platform key policy and hardware-backed behavior require actual device verification.</x:v>
      </x:c>
      <x:c r="E66" s="46" t="str">
        <x:v>https://developer.android.com/privacy-and-security/keystore</x:v>
      </x:c>
      <x:c r="F66" s="46" t="str">
        <x:v>2026-09-27</x:v>
      </x:c>
    </x:row>
  </x:sheetData>
  <x:mergeCells>
    <x:mergeCell ref="A1:F1"/>
  </x:mergeCells>
  <x:pageMargins left="0.7" right="0.7" top="0.75" bottom="0.75" header="0.3" footer="0.3"/>
  <x:tableParts count="1">
    <x:tablePart xmlns:r="http://schemas.openxmlformats.org/officeDocument/2006/relationships" r:id="Rd1faa2e0980e4c16"/>
  </x:tableParts>
</x:worksheet>
</file>

<file path=xl/worksheets/sheet7.xml><?xml version="1.0" encoding="utf-8"?>
<x:worksheet xmlns:x="http://schemas.openxmlformats.org/spreadsheetml/2006/main">
  <x:sheetFormatPr defaultRowHeight="15"/>
  <x:cols>
    <x:col min="1" max="1" width="10" hidden="0" customWidth="1"/>
    <x:col min="2" max="2" width="33" hidden="0" customWidth="1"/>
    <x:col min="3" max="3" width="36" hidden="0" customWidth="1"/>
    <x:col min="4" max="4" width="40" hidden="0" customWidth="1"/>
    <x:col min="5" max="5" width="40" hidden="0" customWidth="1"/>
  </x:cols>
  <x:sheetData>
    <x:row r="1" ht="32" customHeight="1">
      <x:c r="A1" s="39" t="str">
        <x:v>Release gates | evidence, not test totals, controls progression</x:v>
      </x:c>
      <x:c r="B1" s="39"/>
      <x:c r="C1" s="39"/>
      <x:c r="D1" s="39"/>
      <x:c r="E1" s="39"/>
    </x:row>
    <x:row r="3" ht="30" customHeight="1">
      <x:c r="A3" s="43" t="str">
        <x:v>Gate</x:v>
      </x:c>
      <x:c r="B3" s="43" t="str">
        <x:v>Purpose</x:v>
      </x:c>
      <x:c r="C3" s="43" t="str">
        <x:v>Related tasks</x:v>
      </x:c>
      <x:c r="D3" s="43" t="str">
        <x:v>Exit evidence</x:v>
      </x:c>
      <x:c r="E3" s="43" t="str">
        <x:v>Current assessment</x:v>
      </x:c>
    </x:row>
    <x:row r="4" ht="110" customHeight="1">
      <x:c r="A4" s="46" t="str">
        <x:v>G0</x:v>
      </x:c>
      <x:c r="B4" s="46" t="str">
        <x:v>Containment</x:v>
      </x:c>
      <x:c r="C4" s="46" t="str">
        <x:v>SEC01–SEC05,SRC01</x:v>
      </x:c>
      <x:c r="D4" s="46" t="str">
        <x:v>Anonymous access contained; potential exposures assessed; clean trusted source established.</x:v>
      </x:c>
      <x:c r="E4" s="46" t="str">
        <x:v>Blocked by observed exposure; no changes performed.</x:v>
      </x:c>
    </x:row>
    <x:row r="5" ht="110" customHeight="1">
      <x:c r="A5" s="46" t="str">
        <x:v>G1</x:v>
      </x:c>
      <x:c r="B5" s="46" t="str">
        <x:v>Canonical baseline</x:v>
      </x:c>
      <x:c r="C5" s="46" t="str">
        <x:v>SRC01–SRC10</x:v>
      </x:c>
      <x:c r="D5" s="46" t="str">
        <x:v>One accepted file/contract/entrypoint map; archive-only and superseded changes reconciled.</x:v>
      </x:c>
      <x:c r="E5" s="46" t="str">
        <x:v>Not established.</x:v>
      </x:c>
    </x:row>
    <x:row r="6" ht="110" customHeight="1">
      <x:c r="A6" s="46" t="str">
        <x:v>G2</x:v>
      </x:c>
      <x:c r="B6" s="46" t="str">
        <x:v>Scope, commercial and hosting</x:v>
      </x:c>
      <x:c r="C6" s="46" t="str">
        <x:v>LEG01–LEG12,REL01</x:v>
      </x:c>
      <x:c r="D6" s="46" t="str">
        <x:v>Approved club/features/economics/legal operator/hosting and billing decisions.</x:v>
      </x:c>
      <x:c r="E6" s="46" t="str">
        <x:v>Country/provider approvals not verified.</x:v>
      </x:c>
    </x:row>
    <x:row r="7" ht="110" customHeight="1">
      <x:c r="A7" s="46" t="str">
        <x:v>G3</x:v>
      </x:c>
      <x:c r="B7" s="46" t="str">
        <x:v>Build and integration</x:v>
      </x:c>
      <x:c r="C7" s="46" t="str">
        <x:v>CI01–CI10,PUB01–PUB06</x:v>
      </x:c>
      <x:c r="D7" s="46" t="str">
        <x:v>Actual installed modules, native/Worker builds, no deploy bypass, versioned artifacts.</x:v>
      </x:c>
      <x:c r="E7" s="46" t="str">
        <x:v>Observed source wiring and gate gaps.</x:v>
      </x:c>
    </x:row>
    <x:row r="8" ht="110" customHeight="1">
      <x:c r="A8" s="46" t="str">
        <x:v>G4</x:v>
      </x:c>
      <x:c r="B8" s="46" t="str">
        <x:v>Data and identity authority</x:v>
      </x:c>
      <x:c r="C8" s="46" t="str">
        <x:v>DAT01–DAT11,AUT01–AUT12</x:v>
      </x:c>
      <x:c r="D8" s="46" t="str">
        <x:v>Consistent source, complete history, security equivalence and agreed revocation semantics.</x:v>
      </x:c>
      <x:c r="E8" s="46" t="str">
        <x:v>Incomplete / real resource acceptance pending.</x:v>
      </x:c>
    </x:row>
    <x:row r="9" ht="110" customHeight="1">
      <x:c r="A9" s="46" t="str">
        <x:v>G5</x:v>
      </x:c>
      <x:c r="B9" s="46" t="str">
        <x:v>End-to-end native/web domains</x:v>
      </x:c>
      <x:c r="C9" s="46" t="str">
        <x:v>PAY01–PAY12,DOM01–DOM11,NAT01–NAT12,WEB01–WEB10</x:v>
      </x:c>
      <x:c r="D9" s="46" t="str">
        <x:v>Chosen real journeys pass on target resources/platforms, including failure and recovery.</x:v>
      </x:c>
      <x:c r="E9" s="46" t="str">
        <x:v>Isolated cores do not close this gate.</x:v>
      </x:c>
    </x:row>
    <x:row r="10" ht="110" customHeight="1">
      <x:c r="A10" s="46" t="str">
        <x:v>G6</x:v>
      </x:c>
      <x:c r="B10" s="46" t="str">
        <x:v>Operations</x:v>
      </x:c>
      <x:c r="C10" s="46" t="str">
        <x:v>OPS01–OPS10,DAT09,DAT12</x:v>
      </x:c>
      <x:c r="D10" s="46" t="str">
        <x:v>Measured SLOs/capacity/restore, safe telemetry, owners and exception operations.</x:v>
      </x:c>
      <x:c r="E10" s="46" t="str">
        <x:v>Not proven for final candidate.</x:v>
      </x:c>
    </x:row>
    <x:row r="11" ht="110" customHeight="1">
      <x:c r="A11" s="46" t="str">
        <x:v>G7</x:v>
      </x:c>
      <x:c r="B11" s="46" t="str">
        <x:v>Independent acceptance</x:v>
      </x:c>
      <x:c r="C11" s="46" t="str">
        <x:v>UX01–UX08,REL02–REL04</x:v>
      </x:c>
      <x:c r="D11" s="46" t="str">
        <x:v>Current case map, reviewer/owner evidence and completed applicable QA37.</x:v>
      </x:c>
      <x:c r="E11" s="46" t="str">
        <x:v>Blank final sign-off; historical evidence separate.</x:v>
      </x:c>
    </x:row>
    <x:row r="12" ht="110" customHeight="1">
      <x:c r="A12" s="46" t="str">
        <x:v>G8</x:v>
      </x:c>
      <x:c r="B12" s="46" t="str">
        <x:v>Controlled cutover</x:v>
      </x:c>
      <x:c r="C12" s="46" t="str">
        <x:v>REL05–REL07</x:v>
      </x:c>
      <x:c r="D12" s="46" t="str">
        <x:v>Rehearsed write fence, complete reconciliation and approved one-writer transition.</x:v>
      </x:c>
      <x:c r="E12" s="46" t="str">
        <x:v>Not performed / not authorized by audit.</x:v>
      </x:c>
    </x:row>
    <x:row r="13" ht="110" customHeight="1">
      <x:c r="A13" s="46" t="str">
        <x:v>G9</x:v>
      </x:c>
      <x:c r="B13" s="46" t="str">
        <x:v>Expansion and retirement</x:v>
      </x:c>
      <x:c r="C13" s="46" t="str">
        <x:v>REL08–REL10</x:v>
      </x:c>
      <x:c r="D13" s="46" t="str">
        <x:v>Per-club acceptance, observation and protected legacy retirement.</x:v>
      </x:c>
      <x:c r="E13" s="46" t="str">
        <x:v>Not performed.</x:v>
      </x:c>
    </x:row>
  </x:sheetData>
  <x:mergeCells>
    <x:mergeCell ref="A1:E1"/>
  </x:mergeCells>
  <x:pageMargins left="0.7" right="0.7" top="0.75" bottom="0.75" header="0.3" footer="0.3"/>
  <x:tableParts count="1">
    <x:tablePart xmlns:r="http://schemas.openxmlformats.org/officeDocument/2006/relationships" r:id="Rea7c433ff6534e84"/>
  </x:tableParts>
</x:worksheet>
</file>

<file path=xl/worksheets/sheet8.xml><?xml version="1.0" encoding="utf-8"?>
<x:worksheet xmlns:x="http://schemas.openxmlformats.org/spreadsheetml/2006/main">
  <x:sheetFormatPr defaultRowHeight="15"/>
  <x:cols>
    <x:col min="1" max="1" width="25" hidden="0" customWidth="1"/>
    <x:col min="2" max="2" width="20" hidden="0" customWidth="1"/>
    <x:col min="3" max="3" width="18" hidden="0" customWidth="1"/>
    <x:col min="4" max="4" width="40" hidden="0" customWidth="1"/>
    <x:col min="5" max="5" width="40" hidden="0" customWidth="1"/>
    <x:col min="6" max="6" width="40" hidden="0" customWidth="1"/>
  </x:cols>
  <x:sheetData>
    <x:row r="1" ht="32" customHeight="1">
      <x:c r="A1" s="39" t="str">
        <x:v>Five-club rollout | supported is not the same as release-ready</x:v>
      </x:c>
      <x:c r="B1" s="39"/>
      <x:c r="C1" s="39"/>
      <x:c r="D1" s="39"/>
      <x:c r="E1" s="39"/>
      <x:c r="F1" s="39"/>
    </x:row>
    <x:row r="3" ht="30" customHeight="1">
      <x:c r="A3" s="43" t="str">
        <x:v>Club</x:v>
      </x:c>
      <x:c r="B3" s="43" t="str">
        <x:v>Country</x:v>
      </x:c>
      <x:c r="C3" s="43" t="str">
        <x:v>Source tenant ID</x:v>
      </x:c>
      <x:c r="D3" s="43" t="str">
        <x:v>Observed / reported state</x:v>
      </x:c>
      <x:c r="E3" s="43" t="str">
        <x:v>Key distinction</x:v>
      </x:c>
      <x:c r="F3" s="43" t="str">
        <x:v>Required club-specific closure</x:v>
      </x:c>
    </x:row>
    <x:row r="4" ht="150" customHeight="1">
      <x:c r="A4" s="46" t="str">
        <x:v>Rayon Sports</x:v>
      </x:c>
      <x:c r="B4" s="46" t="str">
        <x:v>Rwanda</x:v>
      </x:c>
      <x:c r="C4" s="46" t="str">
        <x:v>24</x:v>
      </x:c>
      <x:c r="D4" s="46" t="str">
        <x:v>Supported shell; dated Sep25 inventory says onboarded/active.</x:v>
      </x:c>
      <x:c r="E4" s="46" t="str">
        <x:v>Public staging and most direct build paths are Rayon-centric; not final production approval.</x:v>
      </x:c>
      <x:c r="F4" s="46" t="str">
        <x:v>Approved merchant, hosted source/DB state, real iOS/Android/web/admin journeys and Rwanda offshore authorization.</x:v>
      </x:c>
    </x:row>
    <x:row r="5" ht="150" customHeight="1">
      <x:c r="A5" s="46" t="str">
        <x:v>Vital’O FC</x:v>
      </x:c>
      <x:c r="B5" s="46" t="str">
        <x:v>Burundi</x:v>
      </x:c>
      <x:c r="C5" s="46" t="str">
        <x:v>44</x:v>
      </x:c>
      <x:c r="D5" s="46" t="str">
        <x:v>Supported shell; current runtime onboarding not verified.</x:v>
      </x:c>
      <x:c r="E5" s="46" t="str">
        <x:v>Historical four-club evidence is not this final candidate.</x:v>
      </x:c>
      <x:c r="F5" s="46" t="str">
        <x:v>Country/operator/publisher/provider/data review and both signed platform journeys.</x:v>
      </x:c>
    </x:row>
    <x:row r="6" ht="150" customHeight="1">
      <x:c r="A6" s="46" t="str">
        <x:v>Nkana FC</x:v>
      </x:c>
      <x:c r="B6" s="46" t="str">
        <x:v>Zambia</x:v>
      </x:c>
      <x:c r="C6" s="46" t="str">
        <x:v>26</x:v>
      </x:c>
      <x:c r="D6" s="46" t="str">
        <x:v>Supported shell; current runtime onboarding not verified.</x:v>
      </x:c>
      <x:c r="E6" s="46" t="str">
        <x:v>No current full production evidence retrieved.</x:v>
      </x:c>
      <x:c r="F6" s="46" t="str">
        <x:v>Official DPC registration applicability, merchant mapping, publishers and device acceptance.</x:v>
      </x:c>
    </x:row>
    <x:row r="7" ht="150" customHeight="1">
      <x:c r="A7" s="46" t="str">
        <x:v>AS Vita Club</x:v>
      </x:c>
      <x:c r="B7" s="46" t="str">
        <x:v>DR Congo</x:v>
      </x:c>
      <x:c r="C7" s="46" t="str">
        <x:v>6</x:v>
      </x:c>
      <x:c r="D7" s="46" t="str">
        <x:v>Supported shell; current runtime onboarding not verified.</x:v>
      </x:c>
      <x:c r="E7" s="46" t="str">
        <x:v>No current full production evidence retrieved.</x:v>
      </x:c>
      <x:c r="F7" s="46" t="str">
        <x:v>Current country legal/data/payment review, verified domains and both platform journeys.</x:v>
      </x:c>
    </x:row>
    <x:row r="8" ht="150" customHeight="1">
      <x:c r="A8" s="46" t="str">
        <x:v>CD Costa do Sol</x:v>
      </x:c>
      <x:c r="B8" s="46" t="str">
        <x:v>Mozambique</x:v>
      </x:c>
      <x:c r="C8" s="46" t="str">
        <x:v>1001 (reserved)</x:v>
      </x:c>
      <x:c r="D8" s="46" t="str">
        <x:v>Supported shell; README lists pending release inputs.</x:v>
      </x:c>
      <x:c r="E8" s="46" t="str">
        <x:v>Not covered by old four-club approval; collision/identity/assets/payment approvals pending.</x:v>
      </x:c>
      <x:c r="F8" s="46" t="str">
        <x:v>Confirm tenant ID, rights/assets, package IDs, providers, country review and independent end-to-end release.</x:v>
      </x:c>
    </x:row>
  </x:sheetData>
  <x:mergeCells>
    <x:mergeCell ref="A1:F1"/>
  </x:mergeCells>
  <x:pageMargins left="0.7" right="0.7" top="0.75" bottom="0.75" header="0.3" footer="0.3"/>
  <x:tableParts count="1">
    <x:tablePart xmlns:r="http://schemas.openxmlformats.org/officeDocument/2006/relationships" r:id="R7fb54f5c99de4c71"/>
  </x:tableParts>
</x:worksheet>
</file>

<file path=xl/worksheets/sheet9.xml><?xml version="1.0" encoding="utf-8"?>
<x:worksheet xmlns:x="http://schemas.openxmlformats.org/spreadsheetml/2006/main">
  <x:sheetFormatPr defaultRowHeight="15"/>
  <x:cols>
    <x:col min="1" max="1" width="26" hidden="0" customWidth="1"/>
    <x:col min="2" max="2" width="40" hidden="0" customWidth="1"/>
  </x:cols>
  <x:sheetData>
    <x:row r="1" ht="32" customHeight="1">
      <x:c r="A1" s="39" t="str">
        <x:v>How to interpret this audit and tracker</x:v>
      </x:c>
      <x:c r="B1" s="39"/>
    </x:row>
    <x:row r="3" ht="30" customHeight="1">
      <x:c r="A3" s="43" t="str">
        <x:v>Area</x:v>
      </x:c>
      <x:c r="B3" s="43" t="str">
        <x:v>Boundary</x:v>
      </x:c>
    </x:row>
    <x:row r="4" ht="100" customHeight="1">
      <x:c r="A4" s="46" t="str">
        <x:v>Scope</x:v>
      </x:c>
      <x:c r="B4" s="46" t="str">
        <x:v>Targeted current Drive source, metadata and seven isolated behavioral fixtures. Not every repository line or runtime resource audited.</x:v>
      </x:c>
    </x:row>
    <x:row r="5" ht="100" customHeight="1">
      <x:c r="A5" s="46" t="str">
        <x:v>New test execution</x:v>
      </x:c>
      <x:c r="B5" s="46" t="str">
        <x:v>Four public-reader probes and three validator fixtures, plus static source/manifest checks. Historical 962 and other batch totals not rerun as platform tests.</x:v>
      </x:c>
    </x:row>
    <x:row r="6" ht="100" customHeight="1">
      <x:c r="A6" s="46" t="str">
        <x:v>Security</x:v>
      </x:c>
      <x:c r="B6" s="46" t="str">
        <x:v>Permission metadata only for sensitive examples. No secret values, credential validity or unauthorized access verified.</x:v>
      </x:c>
    </x:row>
    <x:row r="7" ht="100" customHeight="1">
      <x:c r="A7" s="46" t="str">
        <x:v>Source provenance</x:v>
      </x:c>
      <x:c r="B7" s="46" t="str">
        <x:v>Checksums confirm downloaded bytes, not independent trust of publicly mutable source and co-located manifests.</x:v>
      </x:c>
    </x:row>
    <x:row r="8" ht="100" customHeight="1">
      <x:c r="A8" s="46" t="str">
        <x:v>Live resources</x:v>
      </x:c>
      <x:c r="B8" s="46" t="str">
        <x:v>No real payment, provider, database migration, Access session, native device, deployment or billing operation performed.</x:v>
      </x:c>
    </x:row>
    <x:row r="9" ht="100" customHeight="1">
      <x:c r="A9" s="46" t="str">
        <x:v>Hosted CI</x:v>
      </x:c>
      <x:c r="B9" s="46" t="str">
        <x:v>Connected read returned 404; deletion/renaming/access/billing cause not concluded. External protections unverified.</x:v>
      </x:c>
    </x:row>
    <x:row r="10" ht="100" customHeight="1">
      <x:c r="A10" s="46" t="str">
        <x:v>Toolchain</x:v>
      </x:c>
      <x:c r="B10" s="46" t="str">
        <x:v>Audit Node 22.16.0 used only for isolated probes. Source pins Node22.23.2, npm12.0.2, Flutter3.44.9; Dart/Flutter/Wrangler absent locally.</x:v>
      </x:c>
    </x:row>
    <x:row r="11" ht="100" customHeight="1">
      <x:c r="A11" s="46" t="str">
        <x:v>Legal</x:v>
      </x:c>
      <x:c r="B11" s="46" t="str">
        <x:v>Rwanda offshore guidance and Zambia registration resources checked. Complete five-country applicability opinions remain tasks.</x:v>
      </x:c>
    </x:row>
    <x:row r="12" ht="100" customHeight="1">
      <x:c r="A12" s="46" t="str">
        <x:v>Original QA</x:v>
      </x:c>
      <x:c r="B12" s="46" t="str">
        <x:v>Verbatim tasks and historical source checkmarks retained; final-candidate closure not inferred.</x:v>
      </x:c>
    </x:row>
    <x:row r="13" ht="100" customHeight="1">
      <x:c r="A13" s="46" t="str">
        <x:v>Task status</x:v>
      </x:c>
      <x:c r="B13" s="46" t="str">
        <x:v>Every task is proposed verify/implement work; owners are suggested roles. 'Verified' requires new linked evidence, not a spreadsheet tick alone.</x:v>
      </x:c>
    </x:row>
    <x:row r="14" ht="100" customHeight="1">
      <x:c r="A14" s="46" t="str">
        <x:v>Permissions and execution</x:v>
      </x:c>
      <x:c r="B14" s="46" t="str">
        <x:v>This audit changes no source, sharing, credential, financial, runtime or deployment state. Uploads of audit deliverables are separate.</x:v>
      </x:c>
    </x:row>
    <x:row r="15" ht="100" customHeight="1">
      <x:c r="A15" s="46" t="str">
        <x:v>Completeness</x:v>
      </x:c>
      <x:c r="B15" s="46" t="str">
        <x:v>148 identified tasks include discovery of remaining route/object scope. New evidence may create additional tasks.</x:v>
      </x:c>
    </x:row>
  </x:sheetData>
  <x:mergeCells>
    <x:mergeCell ref="A1:B1"/>
  </x:mergeCells>
  <x:pageMargins left="0.7" right="0.7" top="0.75" bottom="0.75" header="0.3" footer="0.3"/>
  <x:tableParts count="1">
    <x:tablePart xmlns:r="http://schemas.openxmlformats.org/officeDocument/2006/relationships" r:id="R9f62d0593a7543b4"/>
  </x:tableParts>
</x:worksheet>
</file>