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6a25d8d8d240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 Me" sheetId="1" r:id="R92f17f54392c44ac"/>
    <x:sheet xmlns:r="http://schemas.openxmlformats.org/officeDocument/2006/relationships" name="Dashboard" sheetId="2" r:id="Rbd868f54b97b431a"/>
    <x:sheet xmlns:r="http://schemas.openxmlformats.org/officeDocument/2006/relationships" name="Tasks" sheetId="3" r:id="Re099ab1a437d4139"/>
    <x:sheet xmlns:r="http://schemas.openxmlformats.org/officeDocument/2006/relationships" name="Findings" sheetId="4" r:id="R2575ecdf69b34f0f"/>
    <x:sheet xmlns:r="http://schemas.openxmlformats.org/officeDocument/2006/relationships" name="Release Gates" sheetId="5" r:id="Rca0264db262e4c61"/>
    <x:sheet xmlns:r="http://schemas.openxmlformats.org/officeDocument/2006/relationships" name="Sources" sheetId="6" r:id="R857e17829b4346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yyyy-mm-dd"/>
  </x:numFmts>
  <x:fonts count="9">
    <x:font>
      <x:sz val="11"/>
      <x:name val="Carlito"/>
    </x:font>
    <x:font>
      <x:sz val="11"/>
      <x:name val="Aptos"/>
    </x:font>
    <x:font>
      <x:sz val="10"/>
      <x:name val="Aptos"/>
    </x:font>
    <x:font>
      <x:b/>
      <x:sz val="18"/>
      <x:color rgb="FFFFFFFF"/>
      <x:name val="Aptos"/>
    </x:font>
    <x:font>
      <x:b/>
      <x:sz val="10"/>
      <x:name val="Aptos"/>
    </x:font>
    <x:font>
      <x:b/>
      <x:sz val="10"/>
      <x:color rgb="FFFFFFFF"/>
      <x:name val="Aptos"/>
    </x:font>
    <x:font>
      <x:sz val="10"/>
      <x:color rgb="FF185ABD"/>
      <x:name val="Aptos"/>
    </x:font>
    <x:font>
      <x:b/>
      <x:sz val="10"/>
      <x:color rgb="FFA52121"/>
      <x:name val="Aptos"/>
    </x:font>
    <x:font>
      <x:i/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2243A"/>
      </x:patternFill>
    </x:fill>
    <x:fill>
      <x:patternFill patternType="solid">
        <x:fgColor rgb="FFEEF4F6"/>
      </x:patternFill>
    </x:fill>
    <x:fill>
      <x:patternFill patternType="solid">
        <x:fgColor rgb="FF006A72"/>
      </x:patternFill>
    </x:fill>
    <x:fill>
      <x:patternFill patternType="solid">
        <x:fgColor rgb="FFFCE8E6"/>
      </x:patternFill>
    </x:fill>
  </x:fills>
  <x:borders count="2">
    <x:border/>
    <x:border/>
  </x:borders>
  <x:cellStyleXfs count="1">
    <x:xf numFmtId="0" fontId="0" fillId="0" borderId="0"/>
  </x:cellStyleXfs>
  <x:cellXfs count="41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2" borderId="0" xfId="0" applyNumberFormat="1" applyFont="1" applyFill="1" applyBorder="1"/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/>
    <x:xf numFmtId="0" fontId="3" fillId="2" borderId="1" xfId="0" applyNumberFormat="1" applyFont="1" applyFill="1" applyBorder="1"/>
    <x:xf numFmtId="0" fontId="3" fillId="2" borderId="1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/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/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0" fontId="2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/>
    <x:xf numFmtId="0" fontId="5" fillId="4" borderId="0" xfId="0" applyNumberFormat="1" applyFont="1" applyFill="1" applyBorder="1"/>
    <x:xf numFmtId="0" fontId="5" fillId="4" borderId="0" xfId="0" applyNumberFormat="1" applyFont="1" applyFill="1" applyBorder="1" applyAlignment="1">
      <x:alignment wrapText="1"/>
    </x:xf>
    <x:xf numFmtId="0" fontId="5" fillId="4" borderId="0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/>
    <x:xf numFmtId="0" fontId="5" fillId="4" borderId="1" xfId="0" applyNumberFormat="1" applyFont="1" applyFill="1" applyBorder="1"/>
    <x:xf numFmtId="0" fontId="5" fillId="4" borderId="1" xfId="0" applyNumberFormat="1" applyFont="1" applyFill="1" applyBorder="1" applyAlignment="1">
      <x:alignment wrapText="1"/>
    </x:xf>
    <x:xf numFmtId="0" fontId="5" fillId="4" borderId="1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top" wrapText="1"/>
    </x:xf>
    <x:xf numFmtId="0" fontId="2" fillId="0" borderId="1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 wrapText="1"/>
    </x:xf>
    <x:xf numFmtId="0" fontId="6" fillId="0" borderId="1" xfId="0" applyNumberFormat="1" applyFont="1" applyFill="1" applyBorder="1" applyAlignment="1">
      <x:alignment vertical="top" wrapText="1"/>
    </x:xf>
    <x:xf numFmtId="200" fontId="6" fillId="0" borderId="0" xfId="0" applyNumberFormat="1" applyFont="1" applyFill="1" applyBorder="1" applyAlignment="1">
      <x:alignment vertical="top" wrapText="1"/>
    </x:xf>
    <x:xf numFmtId="200" fontId="6" fillId="0" borderId="1" xfId="0" applyNumberFormat="1" applyFont="1" applyFill="1" applyBorder="1" applyAlignment="1">
      <x:alignment vertical="top" wrapText="1"/>
    </x:xf>
    <x:xf numFmtId="0" fontId="2" fillId="5" borderId="0" xfId="0" applyNumberFormat="1" applyFont="1" applyFill="1" applyBorder="1"/>
    <x:xf numFmtId="0" fontId="7" fillId="5" borderId="0" xfId="0" applyNumberFormat="1" applyFont="1" applyFill="1" applyBorder="1"/>
    <x:xf numFmtId="0" fontId="2" fillId="5" borderId="1" xfId="0" applyNumberFormat="1" applyFont="1" applyFill="1" applyBorder="1"/>
    <x:xf numFmtId="0" fontId="7" fillId="5" borderId="1" xfId="0" applyNumberFormat="1" applyFont="1" applyFill="1" applyBorder="1"/>
    <x:xf numFmtId="0" fontId="8" fillId="3" borderId="0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3">
    <x:dxf>
      <x:font>
        <x:b/>
        <x:color rgb="FFA52121"/>
      </x:font>
      <x:fill>
        <x:patternFill patternType="solid">
          <x:bgColor rgb="FFFCE8E6"/>
        </x:patternFill>
      </x:fill>
    </x:dxf>
    <x:dxf>
      <x:fill>
        <x:patternFill patternType="solid">
          <x:bgColor rgb="FFFFF1DA"/>
        </x:patternFill>
      </x:fill>
    </x:dxf>
    <x:dxf>
      <x:fill>
        <x:patternFill patternType="solid">
          <x:bgColor rgb="FFE0F2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4889b8c73664cbe" /><Relationship Type="http://schemas.openxmlformats.org/officeDocument/2006/relationships/theme" Target="/xl/theme/theme1.xml" Id="R805e5f3fe8344e9d" /><Relationship Type="http://schemas.openxmlformats.org/officeDocument/2006/relationships/sharedStrings" Target="/xl/sharedStrings.xml" Id="R55b1d6edb1ae42c7" /><Relationship Type="http://schemas.openxmlformats.org/officeDocument/2006/relationships/worksheet" Target="/xl/worksheets/sheet1.xml" Id="R92f17f54392c44ac" /><Relationship Type="http://schemas.openxmlformats.org/officeDocument/2006/relationships/worksheet" Target="/xl/worksheets/sheet2.xml" Id="Rbd868f54b97b431a" /><Relationship Type="http://schemas.openxmlformats.org/officeDocument/2006/relationships/worksheet" Target="/xl/worksheets/sheet3.xml" Id="Re099ab1a437d4139" /><Relationship Type="http://schemas.openxmlformats.org/officeDocument/2006/relationships/worksheet" Target="/xl/worksheets/sheet4.xml" Id="R2575ecdf69b34f0f" /><Relationship Type="http://schemas.openxmlformats.org/officeDocument/2006/relationships/worksheet" Target="/xl/worksheets/sheet5.xml" Id="Rca0264db262e4c61" /><Relationship Type="http://schemas.openxmlformats.org/officeDocument/2006/relationships/worksheet" Target="/xl/worksheets/sheet6.xml" Id="R857e17829b4346ab" /></Relationships>
</file>

<file path=xl/tables/table1.xml><?xml version="1.0" encoding="utf-8"?>
<x:table xmlns:x="http://schemas.openxmlformats.org/spreadsheetml/2006/main" id="1" name="ProductionTasks" displayName="ProductionTasks" ref="A4:O134" headerRowCount="1" totalsRowCount="0" totalsRowShown="0">
  <x:tableColumns count="15">
    <x:tableColumn id="1" name="ID"/>
    <x:tableColumn id="2" name="Workstream"/>
    <x:tableColumn id="3" name="Priority"/>
    <x:tableColumn id="4" name="Task"/>
    <x:tableColumn id="5" name="Owner role"/>
    <x:tableColumn id="6" name="Gate"/>
    <x:tableColumn id="7" name="Dependencies"/>
    <x:tableColumn id="8" name="Status"/>
    <x:tableColumn id="9" name="Acceptance evidence"/>
    <x:tableColumn id="10" name="Evidence IDs"/>
    <x:tableColumn id="11" name="Assigned owner"/>
    <x:tableColumn id="12" name="Target date"/>
    <x:tableColumn id="13" name="Closure evidence"/>
    <x:tableColumn id="14" name="Source URLs"/>
    <x:tableColumn id="15" name="Release scop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uditFindings" displayName="AuditFindings" ref="A4:H28" headerRowCount="1" totalsRowCount="0" totalsRowShown="0">
  <x:tableColumns count="8">
    <x:tableColumn id="1" name="Finding"/>
    <x:tableColumn id="2" name="Priority"/>
    <x:tableColumn id="3" name="Title"/>
    <x:tableColumn id="4" name="Evidence class"/>
    <x:tableColumn id="5" name="Evidence IDs"/>
    <x:tableColumn id="6" name="Impact"/>
    <x:tableColumn id="7" name="Required response"/>
    <x:tableColumn id="8" name="Closure 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AuditSources" displayName="AuditSources" ref="A4:F68" headerRowCount="1" totalsRowCount="0" totalsRowShown="0">
  <x:tableColumns count="6">
    <x:tableColumn id="1" name="ID"/>
    <x:tableColumn id="2" name="Source"/>
    <x:tableColumn id="3" name="Class"/>
    <x:tableColumn id="4" name="URL / evidence path"/>
    <x:tableColumn id="5" name="Reviewed"/>
    <x:tableColumn id="6" name="Use and limi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d461253df37b4c4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125c479a4fbc4b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3.xml" Id="R09f4a2b35bbb49e0" /></Relationships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4" customHeight="1">
      <x:c r="A1" s="8" t="str">
        <x:v>AFRICLUB | How to use this register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56" customHeight="1">
      <x:c r="A4" s="14" t="str">
        <x:v>Assessment</x:v>
      </x:c>
      <x:c r="B4" s="18" t="str">
        <x:v>27 September 2026; current-source review plus archived context, local tests and official guidance.</x:v>
      </x:c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56" customHeight="1">
      <x:c r="A5" s="14" t="str">
        <x:v>Decision</x:v>
      </x:c>
      <x:c r="B5" s="18" t="str">
        <x:v>NO-GO for full production migration. A smaller release requires its own explicit gates.</x:v>
      </x:c>
      <x:c r="C5" s="4"/>
      <x:c r="D5" s="4"/>
      <x:c r="E5" s="4"/>
      <x:c r="F5" s="4"/>
      <x:c r="G5" s="4"/>
      <x:c r="H5" s="4"/>
      <x:c r="I5" s="4"/>
      <x:c r="J5" s="4"/>
      <x:c r="K5" s="4"/>
      <x:c r="L5" s="4"/>
      <x:c r="M5" s="4"/>
      <x:c r="N5" s="4"/>
      <x:c r="O5" s="4"/>
    </x:row>
    <x:row r="6" ht="56" customHeight="1">
      <x:c r="A6" s="14" t="str">
        <x:v>Immediate security action</x:v>
      </x:c>
      <x:c r="B6" s="18" t="str">
        <x:v>Restrict link-holder permissions; investigate key/environment exposure without distributing secret values.</x:v>
      </x:c>
      <x:c r="C6" s="4"/>
      <x:c r="D6" s="4"/>
      <x:c r="E6" s="4"/>
      <x:c r="F6" s="4"/>
      <x:c r="G6" s="4"/>
      <x:c r="H6" s="4"/>
      <x:c r="I6" s="4"/>
      <x:c r="J6" s="4"/>
      <x:c r="K6" s="4"/>
      <x:c r="L6" s="4"/>
      <x:c r="M6" s="4"/>
      <x:c r="N6" s="4"/>
      <x:c r="O6" s="4"/>
    </x:row>
    <x:row r="7" ht="56" customHeight="1">
      <x:c r="A7" s="14" t="str">
        <x:v>Scope</x:v>
      </x:c>
      <x:c r="B7" s="18" t="str">
        <x:v>130 proposed tasks and 24 findings. This is not a full live-system audit, penetration-test certificate or legal opinion.</x:v>
      </x:c>
      <x:c r="C7" s="4"/>
      <x:c r="D7" s="4"/>
      <x:c r="E7" s="4"/>
      <x:c r="F7" s="4"/>
      <x:c r="G7" s="4"/>
      <x:c r="H7" s="4"/>
      <x:c r="I7" s="4"/>
      <x:c r="J7" s="4"/>
      <x:c r="K7" s="4"/>
      <x:c r="L7" s="4"/>
      <x:c r="M7" s="4"/>
      <x:c r="N7" s="4"/>
      <x:c r="O7" s="4"/>
    </x:row>
    <x:row r="8" ht="56" customHeight="1">
      <x:c r="A8" s="14" t="str">
        <x:v>Task status</x:v>
      </x:c>
      <x:c r="B8" s="18" t="str">
        <x:v>Every task starts Open because this review performed no remediation. This is not a claim that 0% of the product exists.</x:v>
      </x:c>
      <x:c r="C8" s="4"/>
      <x:c r="D8" s="4"/>
      <x:c r="E8" s="4"/>
      <x:c r="F8" s="4"/>
      <x:c r="G8" s="4"/>
      <x:c r="H8" s="4"/>
      <x:c r="I8" s="4"/>
      <x:c r="J8" s="4"/>
      <x:c r="K8" s="4"/>
      <x:c r="L8" s="4"/>
      <x:c r="M8" s="4"/>
      <x:c r="N8" s="4"/>
      <x:c r="O8" s="4"/>
    </x:row>
    <x:row r="9" ht="56" customHeight="1">
      <x:c r="A9" s="14" t="str">
        <x:v>Owners</x:v>
      </x:c>
      <x:c r="B9" s="18" t="str">
        <x:v>Owner role is a recommendation. Assign a real person in Assigned owner before committing a date.</x:v>
      </x:c>
      <x:c r="C9" s="4"/>
      <x:c r="D9" s="4"/>
      <x:c r="E9" s="4"/>
      <x:c r="F9" s="4"/>
      <x:c r="G9" s="4"/>
      <x:c r="H9" s="4"/>
      <x:c r="I9" s="4"/>
      <x:c r="J9" s="4"/>
      <x:c r="K9" s="4"/>
      <x:c r="L9" s="4"/>
      <x:c r="M9" s="4"/>
      <x:c r="N9" s="4"/>
      <x:c r="O9" s="4"/>
    </x:row>
    <x:row r="10" ht="56" customHeight="1">
      <x:c r="A10" s="14" t="str">
        <x:v>Priority</x:v>
      </x:c>
      <x:c r="B10" s="18" t="str">
        <x:v>P0: containment or hard release prerequisite. P1: required before affected scope launches. P2: post-acceptance improvement.</x:v>
      </x:c>
      <x:c r="C10" s="4"/>
      <x:c r="D10" s="4"/>
      <x:c r="E10" s="4"/>
      <x:c r="F10" s="4"/>
      <x:c r="G10" s="4"/>
      <x:c r="H10" s="4"/>
      <x:c r="I10" s="4"/>
      <x:c r="J10" s="4"/>
      <x:c r="K10" s="4"/>
      <x:c r="L10" s="4"/>
      <x:c r="M10" s="4"/>
      <x:c r="N10" s="4"/>
      <x:c r="O10" s="4"/>
    </x:row>
    <x:row r="11" ht="56" customHeight="1">
      <x:c r="A11" s="14" t="str">
        <x:v>Dependencies</x:v>
      </x:c>
      <x:c r="B11" s="18" t="str">
        <x:v>Closure prerequisites, not a claim that investigation cannot proceed in parallel. IDs were checked for uniqueness and cycles.</x:v>
      </x:c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ht="56" customHeight="1">
      <x:c r="A12" s="14" t="str">
        <x:v>Completion</x:v>
      </x:c>
      <x:c r="B12" s="18" t="str">
        <x:v>Change Status only after adding a verifiable Closure evidence link and obtaining an accountable review.</x:v>
      </x:c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ht="56" customHeight="1">
      <x:c r="A13" s="14" t="str">
        <x:v>Sources</x:v>
      </x:c>
      <x:c r="B13" s="18" t="str">
        <x:v>S: repository/archived evidence; E: this-review execution/observations in evidence ZIP; W: official external guidance.</x:v>
      </x:c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ht="56" customHeight="1">
      <x:c r="A14" s="14" t="str">
        <x:v>Passing tests</x:v>
      </x:c>
      <x:c r="B14" s="18" t="str">
        <x:v>512 code tests executed here: 432 payment/checkout, 77 authentication, and 3 weakness reproductions. Not a full candidate CI pass.</x:v>
      </x:c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ht="56" customHeight="1">
      <x:c r="A15" s="14" t="str">
        <x:v>Unverified</x:v>
      </x:c>
      <x:c r="B15" s="18" t="str">
        <x:v>Live D1/Workers/Access/providers, signed devices, full Flutter/Next builds, full pgTAP, performance and legal approvals.</x:v>
      </x:c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ht="56" customHeight="1">
      <x:c r="A16" s="14" t="str">
        <x:v>Editable fields</x:v>
      </x:c>
      <x:c r="B16" s="18" t="str">
        <x:v>Priority, Status, Assigned owner, Target date and Closure evidence. Formula summary updates from Tasks.</x:v>
      </x:c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 ht="56" customHeight="1">
      <x:c r="A17" s="14" t="str">
        <x:v>Delivery</x:v>
      </x:c>
      <x:c r="B17" s="18" t="str">
        <x:v>New audit artifacts are local deliverables. Current connector has no write action; no Drive upload is claimed.</x:v>
      </x:c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 ht="56" customHeight="1">
      <x:c r="A18" s="14" t="str">
        <x:v>Handling</x:v>
      </x:c>
      <x:c r="B18" s="18" t="str">
        <x:v>Security evidence should be access-restricted. No signing keys, secret values or production personal exports are included.</x:v>
      </x:c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H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4" hidden="0" customWidth="1"/>
    <x:col min="3" max="3" width="13" hidden="0" customWidth="1"/>
    <x:col min="4" max="4" width="13" hidden="0" customWidth="1"/>
    <x:col min="5" max="5" width="13" hidden="0" customWidth="1"/>
    <x:col min="6" max="6" width="13" hidden="0" customWidth="1"/>
    <x:col min="7" max="7" width="13" hidden="0" customWidth="1"/>
    <x:col min="8" max="8" width="13" hidden="0" customWidth="1"/>
  </x:cols>
  <x:sheetData>
    <x:row r="1" ht="24" customHeight="1">
      <x:c r="A1" s="8" t="str">
        <x:v>AFRICLUB | Production readiness dashboard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4"/>
      <x:c r="J2" s="4"/>
      <x:c r="K2" s="4"/>
      <x:c r="L2" s="4"/>
      <x:c r="M2" s="4"/>
      <x:c r="N2" s="4"/>
      <x:c r="O2" s="4"/>
    </x:row>
    <x:row r="3" ht="26" customHeight="1">
      <x:c r="A3" s="35" t="str">
        <x:v>NO-GO for full production migration | Gate closure requires evidence, not cumulative test totals</x:v>
      </x:c>
      <x:c r="B3" s="35"/>
      <x:c r="C3" s="35"/>
      <x:c r="D3" s="35"/>
      <x:c r="E3" s="35"/>
      <x:c r="F3" s="35"/>
      <x:c r="G3" s="35"/>
      <x:c r="H3" s="35"/>
      <x:c r="I3" s="4"/>
      <x:c r="J3" s="4"/>
      <x:c r="K3" s="4"/>
      <x:c r="L3" s="4"/>
      <x:c r="M3" s="4"/>
      <x:c r="N3" s="4"/>
      <x:c r="O3" s="4"/>
    </x:row>
    <x:row r="4">
      <x:c r="A4" s="4"/>
      <x:c r="B4" s="4"/>
      <x:c r="C4" s="4"/>
      <x:c r="D4" s="4"/>
      <x:c r="E4" s="4"/>
      <x:c r="F4" s="4"/>
      <x:c r="G4" s="4"/>
      <x:c r="H4" s="4"/>
      <x:c r="I4" s="4"/>
      <x:c r="J4" s="4"/>
      <x:c r="K4" s="4"/>
      <x:c r="L4" s="4"/>
      <x:c r="M4" s="4"/>
      <x:c r="N4" s="4"/>
      <x:c r="O4" s="4"/>
    </x:row>
    <x:row r="5" ht="30" customHeight="1">
      <x:c r="A5" s="23" t="str">
        <x:v>Task measure</x:v>
      </x:c>
      <x:c r="B5" s="23" t="str">
        <x:v>Count</x:v>
      </x:c>
      <x:c r="C5" s="4"/>
      <x:c r="D5" s="23" t="str">
        <x:v>This review’s assurance boundary</x:v>
      </x:c>
      <x:c r="E5" s="23"/>
      <x:c r="F5" s="23"/>
      <x:c r="G5" s="23"/>
      <x:c r="H5" s="23"/>
      <x:c r="I5" s="4"/>
      <x:c r="J5" s="4"/>
      <x:c r="K5" s="4"/>
      <x:c r="L5" s="4"/>
      <x:c r="M5" s="4"/>
      <x:c r="N5" s="4"/>
      <x:c r="O5" s="4"/>
    </x:row>
    <x:row r="6" ht="27" customHeight="1">
      <x:c r="A6" s="4" t="str">
        <x:v>Total proposed tasks</x:v>
      </x:c>
      <x:c r="B6" s="4" t="n">
        <x:f>COUNTA(Tasks!A5:A134)</x:f>
        <x:v>130</x:v>
      </x:c>
      <x:c r="C6" s="4"/>
      <x:c r="D6" s="18" t="str">
        <x:v>512 code tests executed: 432 + 77 + 3</x:v>
      </x:c>
      <x:c r="E6" s="18"/>
      <x:c r="F6" s="18"/>
      <x:c r="G6" s="18"/>
      <x:c r="H6" s="18"/>
      <x:c r="I6" s="4"/>
      <x:c r="J6" s="4"/>
      <x:c r="K6" s="4"/>
      <x:c r="L6" s="4"/>
      <x:c r="M6" s="4"/>
      <x:c r="N6" s="4"/>
      <x:c r="O6" s="4"/>
    </x:row>
    <x:row r="7" ht="27" customHeight="1">
      <x:c r="A7" s="4" t="str">
        <x:v>P0 release prerequisites</x:v>
      </x:c>
      <x:c r="B7" s="4" t="n">
        <x:f>COUNTIF(Tasks!C5:C134,"P0")</x:f>
        <x:v>37</x:v>
      </x:c>
      <x:c r="C7" s="4"/>
      <x:c r="D7" s="18" t="str">
        <x:v>24 findings; 64 source/evidence references</x:v>
      </x:c>
      <x:c r="E7" s="18"/>
      <x:c r="F7" s="18"/>
      <x:c r="G7" s="18"/>
      <x:c r="H7" s="18"/>
      <x:c r="I7" s="4"/>
      <x:c r="J7" s="4"/>
      <x:c r="K7" s="4"/>
      <x:c r="L7" s="4"/>
      <x:c r="M7" s="4"/>
      <x:c r="N7" s="4"/>
      <x:c r="O7" s="4"/>
    </x:row>
    <x:row r="8" ht="27" customHeight="1">
      <x:c r="A8" s="4" t="str">
        <x:v>P1 pre-launch tasks</x:v>
      </x:c>
      <x:c r="B8" s="4" t="n">
        <x:f>COUNTIF(Tasks!C5:C134,"P1")</x:f>
        <x:v>91</x:v>
      </x:c>
      <x:c r="C8" s="4"/>
      <x:c r="D8" s="18" t="str">
        <x:v>Native hosts, devices and live cloud: unverified</x:v>
      </x:c>
      <x:c r="E8" s="18"/>
      <x:c r="F8" s="18"/>
      <x:c r="G8" s="18"/>
      <x:c r="H8" s="18"/>
      <x:c r="I8" s="4"/>
      <x:c r="J8" s="4"/>
      <x:c r="K8" s="4"/>
      <x:c r="L8" s="4"/>
      <x:c r="M8" s="4"/>
      <x:c r="N8" s="4"/>
      <x:c r="O8" s="4"/>
    </x:row>
    <x:row r="9" ht="27" customHeight="1">
      <x:c r="A9" s="4" t="str">
        <x:v>P2 later improvements</x:v>
      </x:c>
      <x:c r="B9" s="4" t="n">
        <x:f>COUNTIF(Tasks!C5:C134,"P2")</x:f>
        <x:v>2</x:v>
      </x:c>
      <x:c r="C9" s="4"/>
      <x:c r="D9" s="18" t="str">
        <x:v>New audit artifacts: NOT uploaded to Drive</x:v>
      </x:c>
      <x:c r="E9" s="18"/>
      <x:c r="F9" s="18"/>
      <x:c r="G9" s="18"/>
      <x:c r="H9" s="18"/>
      <x:c r="I9" s="4"/>
      <x:c r="J9" s="4"/>
      <x:c r="K9" s="4"/>
      <x:c r="L9" s="4"/>
      <x:c r="M9" s="4"/>
      <x:c r="N9" s="4"/>
      <x:c r="O9" s="4"/>
    </x:row>
    <x:row r="10" ht="27" customHeight="1">
      <x:c r="A10" s="4" t="str">
        <x:v>Closed with tracked status</x:v>
      </x:c>
      <x:c r="B10" s="4" t="n">
        <x:f>COUNTIF(Tasks!H5:H134,"Closed")</x:f>
        <x:v>0</x:v>
      </x:c>
      <x:c r="C10" s="4"/>
      <x:c r="D10" s="18" t="str">
        <x:v>No production or permission changes performed</x:v>
      </x:c>
      <x:c r="E10" s="18"/>
      <x:c r="F10" s="18"/>
      <x:c r="G10" s="18"/>
      <x:c r="H10" s="18"/>
      <x:c r="I10" s="4"/>
      <x:c r="J10" s="4"/>
      <x:c r="K10" s="4"/>
      <x:c r="L10" s="4"/>
      <x:c r="M10" s="4"/>
      <x:c r="N10" s="4"/>
      <x:c r="O10" s="4"/>
    </x:row>
    <x:row r="11" ht="27" customHeight="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 ht="27" customHeight="1">
      <x:c r="A12" s="23" t="str">
        <x:v>Workstream</x:v>
      </x:c>
      <x:c r="B12" s="23" t="str">
        <x:v>Total</x:v>
      </x:c>
      <x:c r="C12" s="23" t="str">
        <x:v>P0</x:v>
      </x:c>
      <x:c r="D12" s="23" t="str">
        <x:v>P1</x:v>
      </x:c>
      <x:c r="E12" s="23" t="str">
        <x:v>P2</x:v>
      </x:c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 ht="27" customHeight="1">
      <x:c r="A13" s="4" t="str">
        <x:v>Security containment</x:v>
      </x:c>
      <x:c r="B13" s="4" t="n">
        <x:f>COUNTIF(Tasks!$B$5:$B$134,A13)</x:f>
        <x:v>10</x:v>
      </x:c>
      <x:c r="C13" s="4" t="n">
        <x:f>COUNTIFS(Tasks!$B$5:$B$134,A13,Tasks!$C$5:$C$134,C$12)</x:f>
        <x:v>6</x:v>
      </x:c>
      <x:c r="D13" s="4" t="n">
        <x:f>COUNTIFS(Tasks!$B$5:$B$134,A13,Tasks!$C$5:$C$134,D$12)</x:f>
        <x:v>4</x:v>
      </x:c>
      <x:c r="E13" s="4" t="n">
        <x:f>COUNTIFS(Tasks!$B$5:$B$134,A13,Tasks!$C$5:$C$134,E$12)</x:f>
        <x:v>0</x:v>
      </x:c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 ht="27" customHeight="1">
      <x:c r="A14" s="4" t="str">
        <x:v>Source convergence</x:v>
      </x:c>
      <x:c r="B14" s="4" t="n">
        <x:f>COUNTIF(Tasks!$B$5:$B$134,A14)</x:f>
        <x:v>10</x:v>
      </x:c>
      <x:c r="C14" s="4" t="n">
        <x:f>COUNTIFS(Tasks!$B$5:$B$134,A14,Tasks!$C$5:$C$134,C$12)</x:f>
        <x:v>4</x:v>
      </x:c>
      <x:c r="D14" s="4" t="n">
        <x:f>COUNTIFS(Tasks!$B$5:$B$134,A14,Tasks!$C$5:$C$134,D$12)</x:f>
        <x:v>6</x:v>
      </x:c>
      <x:c r="E14" s="4" t="n">
        <x:f>COUNTIFS(Tasks!$B$5:$B$134,A14,Tasks!$C$5:$C$134,E$12)</x:f>
        <x:v>0</x:v>
      </x:c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 ht="27" customHeight="1">
      <x:c r="A15" s="4" t="str">
        <x:v>Architecture and boundaries</x:v>
      </x:c>
      <x:c r="B15" s="4" t="n">
        <x:f>COUNTIF(Tasks!$B$5:$B$134,A15)</x:f>
        <x:v>10</x:v>
      </x:c>
      <x:c r="C15" s="4" t="n">
        <x:f>COUNTIFS(Tasks!$B$5:$B$134,A15,Tasks!$C$5:$C$134,C$12)</x:f>
        <x:v>4</x:v>
      </x:c>
      <x:c r="D15" s="4" t="n">
        <x:f>COUNTIFS(Tasks!$B$5:$B$134,A15,Tasks!$C$5:$C$134,D$12)</x:f>
        <x:v>6</x:v>
      </x:c>
      <x:c r="E15" s="4" t="n">
        <x:f>COUNTIFS(Tasks!$B$5:$B$134,A15,Tasks!$C$5:$C$134,E$12)</x:f>
        <x:v>0</x:v>
      </x:c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 ht="27" customHeight="1">
      <x:c r="A16" s="4" t="str">
        <x:v>Data migration and integrity</x:v>
      </x:c>
      <x:c r="B16" s="4" t="n">
        <x:f>COUNTIF(Tasks!$B$5:$B$134,A16)</x:f>
        <x:v>10</x:v>
      </x:c>
      <x:c r="C16" s="4" t="n">
        <x:f>COUNTIFS(Tasks!$B$5:$B$134,A16,Tasks!$C$5:$C$134,C$12)</x:f>
        <x:v>8</x:v>
      </x:c>
      <x:c r="D16" s="4" t="n">
        <x:f>COUNTIFS(Tasks!$B$5:$B$134,A16,Tasks!$C$5:$C$134,D$12)</x:f>
        <x:v>2</x:v>
      </x:c>
      <x:c r="E16" s="4" t="n">
        <x:f>COUNTIFS(Tasks!$B$5:$B$134,A16,Tasks!$C$5:$C$134,E$12)</x:f>
        <x:v>0</x:v>
      </x:c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 ht="27" customHeight="1">
      <x:c r="A17" s="4" t="str">
        <x:v>Identity and authorization</x:v>
      </x:c>
      <x:c r="B17" s="4" t="n">
        <x:f>COUNTIF(Tasks!$B$5:$B$134,A17)</x:f>
        <x:v>10</x:v>
      </x:c>
      <x:c r="C17" s="4" t="n">
        <x:f>COUNTIFS(Tasks!$B$5:$B$134,A17,Tasks!$C$5:$C$134,C$12)</x:f>
        <x:v>2</x:v>
      </x:c>
      <x:c r="D17" s="4" t="n">
        <x:f>COUNTIFS(Tasks!$B$5:$B$134,A17,Tasks!$C$5:$C$134,D$12)</x:f>
        <x:v>8</x:v>
      </x:c>
      <x:c r="E17" s="4" t="n">
        <x:f>COUNTIFS(Tasks!$B$5:$B$134,A17,Tasks!$C$5:$C$134,E$12)</x:f>
        <x:v>0</x:v>
      </x:c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 ht="27" customHeight="1">
      <x:c r="A18" s="4" t="str">
        <x:v>Payments and fulfillment</x:v>
      </x:c>
      <x:c r="B18" s="4" t="n">
        <x:f>COUNTIF(Tasks!$B$5:$B$134,A18)</x:f>
        <x:v>10</x:v>
      </x:c>
      <x:c r="C18" s="4" t="n">
        <x:f>COUNTIFS(Tasks!$B$5:$B$134,A18,Tasks!$C$5:$C$134,C$12)</x:f>
        <x:v>4</x:v>
      </x:c>
      <x:c r="D18" s="4" t="n">
        <x:f>COUNTIFS(Tasks!$B$5:$B$134,A18,Tasks!$C$5:$C$134,D$12)</x:f>
        <x:v>6</x:v>
      </x:c>
      <x:c r="E18" s="4" t="n">
        <x:f>COUNTIFS(Tasks!$B$5:$B$134,A18,Tasks!$C$5:$C$134,E$12)</x:f>
        <x:v>0</x:v>
      </x:c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 ht="27" customHeight="1">
      <x:c r="A19" s="4" t="str">
        <x:v>Native app completion</x:v>
      </x:c>
      <x:c r="B19" s="4" t="n">
        <x:f>COUNTIF(Tasks!$B$5:$B$134,A19)</x:f>
        <x:v>10</x:v>
      </x:c>
      <x:c r="C19" s="4" t="n">
        <x:f>COUNTIFS(Tasks!$B$5:$B$134,A19,Tasks!$C$5:$C$134,C$12)</x:f>
        <x:v>1</x:v>
      </x:c>
      <x:c r="D19" s="4" t="n">
        <x:f>COUNTIFS(Tasks!$B$5:$B$134,A19,Tasks!$C$5:$C$134,D$12)</x:f>
        <x:v>9</x:v>
      </x:c>
      <x:c r="E19" s="4" t="n">
        <x:f>COUNTIFS(Tasks!$B$5:$B$134,A19,Tasks!$C$5:$C$134,E$12)</x:f>
        <x:v>0</x:v>
      </x:c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 ht="27" customHeight="1">
      <x:c r="A20" s="4" t="str">
        <x:v>Public web and administration</x:v>
      </x:c>
      <x:c r="B20" s="4" t="n">
        <x:f>COUNTIF(Tasks!$B$5:$B$134,A20)</x:f>
        <x:v>10</x:v>
      </x:c>
      <x:c r="C20" s="4" t="n">
        <x:f>COUNTIFS(Tasks!$B$5:$B$134,A20,Tasks!$C$5:$C$134,C$12)</x:f>
        <x:v>1</x:v>
      </x:c>
      <x:c r="D20" s="4" t="n">
        <x:f>COUNTIFS(Tasks!$B$5:$B$134,A20,Tasks!$C$5:$C$134,D$12)</x:f>
        <x:v>9</x:v>
      </x:c>
      <x:c r="E20" s="4" t="n">
        <x:f>COUNTIFS(Tasks!$B$5:$B$134,A20,Tasks!$C$5:$C$134,E$12)</x:f>
        <x:v>0</x:v>
      </x:c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 ht="27" customHeight="1">
      <x:c r="A21" s="4" t="str">
        <x:v>Product, content and design</x:v>
      </x:c>
      <x:c r="B21" s="4" t="n">
        <x:f>COUNTIF(Tasks!$B$5:$B$134,A21)</x:f>
        <x:v>10</x:v>
      </x:c>
      <x:c r="C21" s="4" t="n">
        <x:f>COUNTIFS(Tasks!$B$5:$B$134,A21,Tasks!$C$5:$C$134,C$12)</x:f>
        <x:v>1</x:v>
      </x:c>
      <x:c r="D21" s="4" t="n">
        <x:f>COUNTIFS(Tasks!$B$5:$B$134,A21,Tasks!$C$5:$C$134,D$12)</x:f>
        <x:v>8</x:v>
      </x:c>
      <x:c r="E21" s="4" t="n">
        <x:f>COUNTIFS(Tasks!$B$5:$B$134,A21,Tasks!$C$5:$C$134,E$12)</x:f>
        <x:v>1</x:v>
      </x:c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 ht="27" customHeight="1">
      <x:c r="A22" s="4" t="str">
        <x:v>Verification and assurance</x:v>
      </x:c>
      <x:c r="B22" s="4" t="n">
        <x:f>COUNTIF(Tasks!$B$5:$B$134,A22)</x:f>
        <x:v>10</x:v>
      </x:c>
      <x:c r="C22" s="4" t="n">
        <x:f>COUNTIFS(Tasks!$B$5:$B$134,A22,Tasks!$C$5:$C$134,C$12)</x:f>
        <x:v>1</x:v>
      </x:c>
      <x:c r="D22" s="4" t="n">
        <x:f>COUNTIFS(Tasks!$B$5:$B$134,A22,Tasks!$C$5:$C$134,D$12)</x:f>
        <x:v>9</x:v>
      </x:c>
      <x:c r="E22" s="4" t="n">
        <x:f>COUNTIFS(Tasks!$B$5:$B$134,A22,Tasks!$C$5:$C$134,E$12)</x:f>
        <x:v>0</x:v>
      </x:c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 ht="27" customHeight="1">
      <x:c r="A23" s="4" t="str">
        <x:v>Operations and resilience</x:v>
      </x:c>
      <x:c r="B23" s="4" t="n">
        <x:f>COUNTIF(Tasks!$B$5:$B$134,A23)</x:f>
        <x:v>10</x:v>
      </x:c>
      <x:c r="C23" s="4" t="n">
        <x:f>COUNTIFS(Tasks!$B$5:$B$134,A23,Tasks!$C$5:$C$134,C$12)</x:f>
        <x:v>0</x:v>
      </x:c>
      <x:c r="D23" s="4" t="n">
        <x:f>COUNTIFS(Tasks!$B$5:$B$134,A23,Tasks!$C$5:$C$134,D$12)</x:f>
        <x:v>10</x:v>
      </x:c>
      <x:c r="E23" s="4" t="n">
        <x:f>COUNTIFS(Tasks!$B$5:$B$134,A23,Tasks!$C$5:$C$134,E$12)</x:f>
        <x:v>0</x:v>
      </x:c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 ht="27" customHeight="1">
      <x:c r="A24" s="4" t="str">
        <x:v>Legal, privacy and club approvals</x:v>
      </x:c>
      <x:c r="B24" s="4" t="n">
        <x:f>COUNTIF(Tasks!$B$5:$B$134,A24)</x:f>
        <x:v>10</x:v>
      </x:c>
      <x:c r="C24" s="4" t="n">
        <x:f>COUNTIFS(Tasks!$B$5:$B$134,A24,Tasks!$C$5:$C$134,C$12)</x:f>
        <x:v>2</x:v>
      </x:c>
      <x:c r="D24" s="4" t="n">
        <x:f>COUNTIFS(Tasks!$B$5:$B$134,A24,Tasks!$C$5:$C$134,D$12)</x:f>
        <x:v>8</x:v>
      </x:c>
      <x:c r="E24" s="4" t="n">
        <x:f>COUNTIFS(Tasks!$B$5:$B$134,A24,Tasks!$C$5:$C$134,E$12)</x:f>
        <x:v>0</x:v>
      </x:c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 ht="27" customHeight="1">
      <x:c r="A25" s="4" t="str">
        <x:v>Controlled launch and retirement</x:v>
      </x:c>
      <x:c r="B25" s="4" t="n">
        <x:f>COUNTIF(Tasks!$B$5:$B$134,A25)</x:f>
        <x:v>10</x:v>
      </x:c>
      <x:c r="C25" s="4" t="n">
        <x:f>COUNTIFS(Tasks!$B$5:$B$134,A25,Tasks!$C$5:$C$134,C$12)</x:f>
        <x:v>3</x:v>
      </x:c>
      <x:c r="D25" s="4" t="n">
        <x:f>COUNTIFS(Tasks!$B$5:$B$134,A25,Tasks!$C$5:$C$134,D$12)</x:f>
        <x:v>6</x:v>
      </x:c>
      <x:c r="E25" s="4" t="n">
        <x:f>COUNTIFS(Tasks!$B$5:$B$134,A25,Tasks!$C$5:$C$134,E$12)</x:f>
        <x:v>1</x:v>
      </x:c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0" t="str">
        <x:v>All tasks begin Open because this review performed no remediation. This is not a measure of how much product code already exists. Start with SEC-01, REP-01 and the relevant privacy assessment.</x:v>
      </x:c>
      <x:c r="B28" s="40"/>
      <x:c r="C28" s="40"/>
      <x:c r="D28" s="40"/>
      <x:c r="E28" s="40"/>
      <x:c r="F28" s="40"/>
      <x:c r="G28" s="40"/>
      <x:c r="H28" s="40"/>
      <x:c r="I28" s="4"/>
      <x:c r="J28" s="4"/>
      <x:c r="K28" s="4"/>
      <x:c r="L28" s="4"/>
      <x:c r="M28" s="4"/>
      <x:c r="N28" s="4"/>
      <x:c r="O28" s="4"/>
    </x:row>
    <x:row r="29">
      <x:c r="A29" s="40"/>
      <x:c r="B29" s="40"/>
      <x:c r="C29" s="40"/>
      <x:c r="D29" s="40"/>
      <x:c r="E29" s="40"/>
      <x:c r="F29" s="40"/>
      <x:c r="G29" s="40"/>
      <x:c r="H29" s="40"/>
      <x:c r="I29" s="4"/>
      <x:c r="J29" s="4"/>
      <x:c r="K29" s="4"/>
      <x:c r="L29" s="4"/>
      <x:c r="M29" s="4"/>
      <x:c r="N29" s="4"/>
      <x:c r="O29" s="4"/>
    </x:row>
    <x:row r="30">
      <x:c r="A30" s="40"/>
      <x:c r="B30" s="40"/>
      <x:c r="C30" s="40"/>
      <x:c r="D30" s="40"/>
      <x:c r="E30" s="40"/>
      <x:c r="F30" s="40"/>
      <x:c r="G30" s="40"/>
      <x:c r="H30" s="40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H2"/>
    <x:mergeCell ref="A3:H3"/>
    <x:mergeCell ref="D5:H5"/>
    <x:mergeCell ref="D6:H6"/>
    <x:mergeCell ref="D7:H7"/>
    <x:mergeCell ref="D8:H8"/>
    <x:mergeCell ref="D9:H9"/>
    <x:mergeCell ref="D10:H10"/>
    <x:mergeCell ref="A28:H30"/>
  </x:mergeCells>
  <x:conditionalFormatting sqref="B13:B25">
    <x:cfRule type="dataBar" priority="1">
      <x:dataBar>
        <x:cfvo type="min"/>
        <x:cfvo type="max"/>
        <x:color rgb="FF006A72"/>
      </x:dataBar>
      <x:extLst>
        <x:ext xmlns:x14="http://schemas.microsoft.com/office/spreadsheetml/2009/9/main" uri="{B025F937-C7B1-47D3-B67F-A62EFF666E3E}">
          <x14:id>{E5D2A047-4238-8741-E2B3-85669B88D1C8}</x14:id>
        </x:ext>
      </x:extLst>
    </x:cfRule>
  </x:conditionalFormatting>
  <x:pageMargins left="0.7" right="0.7" top="0.75" bottom="0.75" header="0.3" footer="0.3"/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E5D2A047-4238-8741-E2B3-85669B88D1C8}">
            <x14:dataBar gradient="0">
              <x14:cfvo type="min"/>
              <x14:cfvo type="max"/>
              <x14:fillColor rgb="FF006A72"/>
            </x14:dataBar>
          </x14:cfRule>
          <xm:sqref>B13:B25</xm:sqref>
        </x14:conditionalFormatting>
      </x14:conditionalFormattings>
    </x:ext>
  </x:extLst>
</x:worksheet>
</file>

<file path=xl/worksheets/sheet3.xml><?xml version="1.0" encoding="utf-8"?>
<x:worksheet xmlns:x="http://schemas.openxmlformats.org/spreadsheetml/2006/main">
  <x:sheetFormatPr defaultRowHeight="15"/>
  <x:cols>
    <x:col min="1" max="1" width="13" hidden="0" customWidth="1"/>
    <x:col min="2" max="2" width="25" hidden="0" customWidth="1"/>
    <x:col min="3" max="3" width="11" hidden="0" customWidth="1"/>
    <x:col min="4" max="4" width="40" hidden="0" customWidth="1"/>
    <x:col min="5" max="5" width="24" hidden="0" customWidth="1"/>
    <x:col min="6" max="6" width="13" hidden="0" customWidth="1"/>
    <x:col min="7" max="7" width="32" hidden="0" customWidth="1"/>
    <x:col min="8" max="8" width="16" hidden="0" customWidth="1"/>
    <x:col min="9" max="9" width="40" hidden="0" customWidth="1"/>
    <x:col min="10" max="10" width="22" hidden="0" customWidth="1"/>
    <x:col min="11" max="11" width="23" hidden="0" customWidth="1"/>
    <x:col min="12" max="12" width="17" hidden="0" customWidth="1"/>
    <x:col min="13" max="13" width="35" hidden="0" customWidth="1"/>
    <x:col min="14" max="14" width="40" hidden="0" customWidth="1"/>
    <x:col min="15" max="15" width="32" hidden="0" customWidth="1"/>
  </x:cols>
  <x:sheetData>
    <x:row r="1" ht="24" customHeight="1">
      <x:c r="A1" s="8" t="str">
        <x:v>AFRICLUB | Production remediation backlog</x:v>
      </x:c>
      <x:c r="B1" s="8"/>
      <x:c r="C1" s="8"/>
      <x:c r="D1" s="8"/>
      <x:c r="E1" s="8"/>
      <x:c r="F1" s="8"/>
      <x:c r="G1" s="8"/>
      <x:c r="H1" s="8"/>
      <x:c r="I1" s="8"/>
      <x:c r="J1" s="8"/>
      <x:c r="K1" s="8"/>
      <x:c r="L1" s="8"/>
      <x:c r="M1" s="8"/>
      <x:c r="N1" s="8"/>
      <x:c r="O1" s="8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8"/>
      <x:c r="J2" s="8"/>
      <x:c r="K2" s="8"/>
      <x:c r="L2" s="8"/>
      <x:c r="M2" s="8"/>
      <x:c r="N2" s="8"/>
      <x:c r="O2" s="8"/>
    </x:row>
    <x:row r="3">
      <x:c r="A3" s="4" t="str">
        <x:v>Proposed tasks; acceptance, not file creation, closes a task. Assign named owners and attach evidence.</x:v>
      </x:c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30" customHeight="1">
      <x:c r="A4" s="23" t="str">
        <x:v>ID</x:v>
      </x:c>
      <x:c r="B4" s="23" t="str">
        <x:v>Workstream</x:v>
      </x:c>
      <x:c r="C4" s="23" t="str">
        <x:v>Priority</x:v>
      </x:c>
      <x:c r="D4" s="23" t="str">
        <x:v>Task</x:v>
      </x:c>
      <x:c r="E4" s="23" t="str">
        <x:v>Owner role</x:v>
      </x:c>
      <x:c r="F4" s="23" t="str">
        <x:v>Gate</x:v>
      </x:c>
      <x:c r="G4" s="23" t="str">
        <x:v>Dependencies</x:v>
      </x:c>
      <x:c r="H4" s="23" t="str">
        <x:v>Status</x:v>
      </x:c>
      <x:c r="I4" s="23" t="str">
        <x:v>Acceptance evidence</x:v>
      </x:c>
      <x:c r="J4" s="23" t="str">
        <x:v>Evidence IDs</x:v>
      </x:c>
      <x:c r="K4" s="23" t="str">
        <x:v>Assigned owner</x:v>
      </x:c>
      <x:c r="L4" s="23" t="str">
        <x:v>Target date</x:v>
      </x:c>
      <x:c r="M4" s="23" t="str">
        <x:v>Closure evidence</x:v>
      </x:c>
      <x:c r="N4" s="23" t="str">
        <x:v>Primary source URL</x:v>
      </x:c>
      <x:c r="O4" s="23" t="str">
        <x:v>Release scope</x:v>
      </x:c>
    </x:row>
    <x:row r="5" ht="98" customHeight="1">
      <x:c r="A5" s="28" t="str">
        <x:v>SEC-01</x:v>
      </x:c>
      <x:c r="B5" s="28" t="str">
        <x:v>Security containment</x:v>
      </x:c>
      <x:c r="C5" s="28" t="str">
        <x:v>P0</x:v>
      </x:c>
      <x:c r="D5" s="28" t="str">
        <x:v>Restrict public-link write/read permissions</x:v>
      </x:c>
      <x:c r="E5" s="28" t="str">
        <x:v>Security lead</x:v>
      </x:c>
      <x:c r="F5" s="28" t="str">
        <x:v>G0</x:v>
      </x:c>
      <x:c r="G5" s="28" t="str"/>
      <x:c r="H5" s="28" t="str">
        <x:v>Open</x:v>
      </x:c>
      <x:c r="I5" s="28" t="str">
        <x:v>Fresh metadata for root, children and archives shows approved named principals only; owner signs the access review.</x:v>
      </x:c>
      <x:c r="J5" s="28" t="str">
        <x:v>F01; W01; W11; W13</x:v>
      </x:c>
      <x:c r="K5" s="30" t="str"/>
      <x:c r="L5" s="32" t="str"/>
      <x:c r="M5" s="30" t="str"/>
      <x:c r="N5" s="28" t="str">
        <x:v>https://drive.google.com/file/d/1m8qAjoBhpeD7sopp8Xld0sFMtJw5bN9E/view</x:v>
      </x:c>
      <x:c r="O5" s="28" t="str">
        <x:v>All enabled release scope; defer only by explicit product exclusion</x:v>
      </x:c>
    </x:row>
    <x:row r="6" ht="98" customHeight="1">
      <x:c r="A6" s="28" t="str">
        <x:v>SEC-02</x:v>
      </x:c>
      <x:c r="B6" s="28" t="str">
        <x:v>Security containment</x:v>
      </x:c>
      <x:c r="C6" s="28" t="str">
        <x:v>P0</x:v>
      </x:c>
      <x:c r="D6" s="28" t="str">
        <x:v>Preserve and review Drive/Git/provider audit history</x:v>
      </x:c>
      <x:c r="E6" s="28" t="str">
        <x:v>Security lead</x:v>
      </x:c>
      <x:c r="F6" s="28" t="str">
        <x:v>G0</x:v>
      </x:c>
      <x:c r="G6" s="28" t="str">
        <x:v>SEC-01</x:v>
      </x:c>
      <x:c r="H6" s="28" t="str">
        <x:v>Open</x:v>
      </x:c>
      <x:c r="I6" s="28" t="str">
        <x:v>Time-bounded access/revision evidence preserved; unexplained edits and downloads investigated with a documented incident decision.</x:v>
      </x:c>
      <x:c r="J6" s="28" t="str">
        <x:v>F01; W01; W11; W13</x:v>
      </x:c>
      <x:c r="K6" s="30" t="str"/>
      <x:c r="L6" s="32" t="str"/>
      <x:c r="M6" s="30" t="str"/>
      <x:c r="N6" s="28" t="str">
        <x:v>https://drive.google.com/file/d/1m8qAjoBhpeD7sopp8Xld0sFMtJw5bN9E/view</x:v>
      </x:c>
      <x:c r="O6" s="28" t="str">
        <x:v>All enabled release scope; defer only by explicit product exclusion</x:v>
      </x:c>
    </x:row>
    <x:row r="7" ht="98" customHeight="1">
      <x:c r="A7" s="28" t="str">
        <x:v>SEC-03</x:v>
      </x:c>
      <x:c r="B7" s="28" t="str">
        <x:v>Security containment</x:v>
      </x:c>
      <x:c r="C7" s="28" t="str">
        <x:v>P0</x:v>
      </x:c>
      <x:c r="D7" s="28" t="str">
        <x:v>Inventory sensitive artifact exposure without broadcasting values</x:v>
      </x:c>
      <x:c r="E7" s="28" t="str">
        <x:v>Security lead</x:v>
      </x:c>
      <x:c r="F7" s="28" t="str">
        <x:v>G0</x:v>
      </x:c>
      <x:c r="G7" s="28" t="str">
        <x:v>SEC-01</x:v>
      </x:c>
      <x:c r="H7" s="28" t="str">
        <x:v>Open</x:v>
      </x:c>
      <x:c r="I7" s="28" t="str">
        <x:v>Classify .env, keystores, service credentials, exports and caches; distinguish public client keys from secrets and map validity/use.</x:v>
      </x:c>
      <x:c r="J7" s="28" t="str">
        <x:v>F01; W01; W11; W13</x:v>
      </x:c>
      <x:c r="K7" s="30" t="str"/>
      <x:c r="L7" s="32" t="str"/>
      <x:c r="M7" s="30" t="str"/>
      <x:c r="N7" s="28" t="str">
        <x:v>https://drive.google.com/file/d/1m8qAjoBhpeD7sopp8Xld0sFMtJw5bN9E/view</x:v>
      </x:c>
      <x:c r="O7" s="28" t="str">
        <x:v>All enabled release scope; defer only by explicit product exclusion</x:v>
      </x:c>
    </x:row>
    <x:row r="8" ht="98" customHeight="1">
      <x:c r="A8" s="28" t="str">
        <x:v>SEC-04</x:v>
      </x:c>
      <x:c r="B8" s="28" t="str">
        <x:v>Security containment</x:v>
      </x:c>
      <x:c r="C8" s="28" t="str">
        <x:v>P0</x:v>
      </x:c>
      <x:c r="D8" s="28" t="str">
        <x:v>Rotate exposed live backend/provider secrets where confirmed</x:v>
      </x:c>
      <x:c r="E8" s="28" t="str">
        <x:v>Security lead</x:v>
      </x:c>
      <x:c r="F8" s="28" t="str">
        <x:v>G0</x:v>
      </x:c>
      <x:c r="G8" s="28" t="str">
        <x:v>SEC-03</x:v>
      </x:c>
      <x:c r="H8" s="28" t="str">
        <x:v>Open</x:v>
      </x:c>
      <x:c r="I8" s="28" t="str">
        <x:v>Validated replacement, revoked old secret, service smoke and rollback plan; do not rotate unclassified values blindly.</x:v>
      </x:c>
      <x:c r="J8" s="28" t="str">
        <x:v>F01; W01; W11; W13</x:v>
      </x:c>
      <x:c r="K8" s="30" t="str"/>
      <x:c r="L8" s="32" t="str"/>
      <x:c r="M8" s="30" t="str"/>
      <x:c r="N8" s="28" t="str">
        <x:v>https://drive.google.com/file/d/1m8qAjoBhpeD7sopp8Xld0sFMtJw5bN9E/view</x:v>
      </x:c>
      <x:c r="O8" s="28" t="str">
        <x:v>All enabled release scope; defer only by explicit product exclusion</x:v>
      </x:c>
    </x:row>
    <x:row r="9" ht="98" customHeight="1">
      <x:c r="A9" s="28" t="str">
        <x:v>SEC-05</x:v>
      </x:c>
      <x:c r="B9" s="28" t="str">
        <x:v>Security containment</x:v>
      </x:c>
      <x:c r="C9" s="28" t="str">
        <x:v>P0</x:v>
      </x:c>
      <x:c r="D9" s="28" t="str">
        <x:v>Review Android upload/signing credentials and reset affected key</x:v>
      </x:c>
      <x:c r="E9" s="28" t="str">
        <x:v>Security lead</x:v>
      </x:c>
      <x:c r="F9" s="28" t="str">
        <x:v>G0</x:v>
      </x:c>
      <x:c r="G9" s="28" t="str">
        <x:v>SEC-03</x:v>
      </x:c>
      <x:c r="H9" s="28" t="str">
        <x:v>Open</x:v>
      </x:c>
      <x:c r="I9" s="28" t="str">
        <x:v>Determine Play App Signing arrangement; approved reset/rotation plus clean-build signature verification and release continuity.</x:v>
      </x:c>
      <x:c r="J9" s="28" t="str">
        <x:v>F01; W01; W11; W13</x:v>
      </x:c>
      <x:c r="K9" s="30" t="str"/>
      <x:c r="L9" s="32" t="str"/>
      <x:c r="M9" s="30" t="str"/>
      <x:c r="N9" s="28" t="str">
        <x:v>https://drive.google.com/file/d/1m8qAjoBhpeD7sopp8Xld0sFMtJw5bN9E/view</x:v>
      </x:c>
      <x:c r="O9" s="28" t="str">
        <x:v>All enabled release scope; defer only by explicit product exclusion</x:v>
      </x:c>
    </x:row>
    <x:row r="10" ht="98" customHeight="1">
      <x:c r="A10" s="28" t="str">
        <x:v>SEC-06</x:v>
      </x:c>
      <x:c r="B10" s="28" t="str">
        <x:v>Security containment</x:v>
      </x:c>
      <x:c r="C10" s="28" t="str">
        <x:v>P0</x:v>
      </x:c>
      <x:c r="D10" s="28" t="str">
        <x:v>Restrict production backups and personal-data exports</x:v>
      </x:c>
      <x:c r="E10" s="28" t="str">
        <x:v>Security lead</x:v>
      </x:c>
      <x:c r="F10" s="28" t="str">
        <x:v>G0</x:v>
      </x:c>
      <x:c r="G10" s="28" t="str">
        <x:v>SEC-03</x:v>
      </x:c>
      <x:c r="H10" s="28" t="str">
        <x:v>Open</x:v>
      </x:c>
      <x:c r="I10" s="28" t="str">
        <x:v>Private encrypted backup store, least-privilege ACLs and access audit; no unrestricted conversation/archive copies of sensitive exports.</x:v>
      </x:c>
      <x:c r="J10" s="28" t="str">
        <x:v>F01; W01; W11; W13</x:v>
      </x:c>
      <x:c r="K10" s="30" t="str"/>
      <x:c r="L10" s="32" t="str"/>
      <x:c r="M10" s="30" t="str"/>
      <x:c r="N10" s="28" t="str">
        <x:v>https://drive.google.com/file/d/1m8qAjoBhpeD7sopp8Xld0sFMtJw5bN9E/view</x:v>
      </x:c>
      <x:c r="O10" s="28" t="str">
        <x:v>All enabled release scope; defer only by explicit product exclusion</x:v>
      </x:c>
    </x:row>
    <x:row r="11" ht="98" customHeight="1">
      <x:c r="A11" s="28" t="str">
        <x:v>SEC-07</x:v>
      </x:c>
      <x:c r="B11" s="28" t="str">
        <x:v>Security containment</x:v>
      </x:c>
      <x:c r="C11" s="28" t="str">
        <x:v>P1</x:v>
      </x:c>
      <x:c r="D11" s="28" t="str">
        <x:v>Scan candidate, Git history, bundles and archives for secrets</x:v>
      </x:c>
      <x:c r="E11" s="28" t="str">
        <x:v>Security lead</x:v>
      </x:c>
      <x:c r="F11" s="28" t="str">
        <x:v>G0</x:v>
      </x:c>
      <x:c r="G11" s="28" t="str">
        <x:v>SEC-03; REP-01</x:v>
      </x:c>
      <x:c r="H11" s="28" t="str">
        <x:v>Open</x:v>
      </x:c>
      <x:c r="I11" s="28" t="str">
        <x:v>Independent scan reports zero unapproved live secrets; false positives reviewed and historical exposure addressed.</x:v>
      </x:c>
      <x:c r="J11" s="28" t="str">
        <x:v>F01; W01; W11; W13</x:v>
      </x:c>
      <x:c r="K11" s="30" t="str"/>
      <x:c r="L11" s="32" t="str"/>
      <x:c r="M11" s="30" t="str"/>
      <x:c r="N11" s="28" t="str">
        <x:v>https://drive.google.com/file/d/1m8qAjoBhpeD7sopp8Xld0sFMtJw5bN9E/view</x:v>
      </x:c>
      <x:c r="O11" s="28" t="str">
        <x:v>All enabled release scope; defer only by explicit product exclusion</x:v>
      </x:c>
    </x:row>
    <x:row r="12" ht="98" customHeight="1">
      <x:c r="A12" s="28" t="str">
        <x:v>SEC-08</x:v>
      </x:c>
      <x:c r="B12" s="28" t="str">
        <x:v>Security containment</x:v>
      </x:c>
      <x:c r="C12" s="28" t="str">
        <x:v>P1</x:v>
      </x:c>
      <x:c r="D12" s="28" t="str">
        <x:v>Define redaction and evidence-publication policy</x:v>
      </x:c>
      <x:c r="E12" s="28" t="str">
        <x:v>Security lead</x:v>
      </x:c>
      <x:c r="F12" s="28" t="str">
        <x:v>G0</x:v>
      </x:c>
      <x:c r="G12" s="28" t="str">
        <x:v>SEC-03</x:v>
      </x:c>
      <x:c r="H12" s="28" t="str">
        <x:v>Open</x:v>
      </x:c>
      <x:c r="I12" s="28" t="str">
        <x:v>Automated tests prevent token/phone/payment-body leakage; approved synthetic data and masking rules for screenshots/logs.</x:v>
      </x:c>
      <x:c r="J12" s="28" t="str">
        <x:v>F01; W01; W11; W13</x:v>
      </x:c>
      <x:c r="K12" s="30" t="str"/>
      <x:c r="L12" s="32" t="str"/>
      <x:c r="M12" s="30" t="str"/>
      <x:c r="N12" s="28" t="str">
        <x:v>https://drive.google.com/file/d/1m8qAjoBhpeD7sopp8Xld0sFMtJw5bN9E/view</x:v>
      </x:c>
      <x:c r="O12" s="28" t="str">
        <x:v>All enabled release scope; defer only by explicit product exclusion</x:v>
      </x:c>
    </x:row>
    <x:row r="13" ht="98" customHeight="1">
      <x:c r="A13" s="28" t="str">
        <x:v>SEC-09</x:v>
      </x:c>
      <x:c r="B13" s="28" t="str">
        <x:v>Security containment</x:v>
      </x:c>
      <x:c r="C13" s="28" t="str">
        <x:v>P1</x:v>
      </x:c>
      <x:c r="D13" s="28" t="str">
        <x:v>Require phishing-resistant MFA and privileged access review</x:v>
      </x:c>
      <x:c r="E13" s="28" t="str">
        <x:v>Security lead</x:v>
      </x:c>
      <x:c r="F13" s="28" t="str">
        <x:v>G0</x:v>
      </x:c>
      <x:c r="G13" s="28" t="str">
        <x:v>SEC-01</x:v>
      </x:c>
      <x:c r="H13" s="28" t="str">
        <x:v>Open</x:v>
      </x:c>
      <x:c r="I13" s="28" t="str">
        <x:v>Named staff access, step-up for critical actions, break-glass logging and tested removal of a departing operator.</x:v>
      </x:c>
      <x:c r="J13" s="28" t="str">
        <x:v>F01; W01; W11; W13</x:v>
      </x:c>
      <x:c r="K13" s="30" t="str"/>
      <x:c r="L13" s="32" t="str"/>
      <x:c r="M13" s="30" t="str"/>
      <x:c r="N13" s="28" t="str">
        <x:v>https://drive.google.com/file/d/1m8qAjoBhpeD7sopp8Xld0sFMtJw5bN9E/view</x:v>
      </x:c>
      <x:c r="O13" s="28" t="str">
        <x:v>All enabled release scope; defer only by explicit product exclusion</x:v>
      </x:c>
    </x:row>
    <x:row r="14" ht="98" customHeight="1">
      <x:c r="A14" s="28" t="str">
        <x:v>SEC-10</x:v>
      </x:c>
      <x:c r="B14" s="28" t="str">
        <x:v>Security containment</x:v>
      </x:c>
      <x:c r="C14" s="28" t="str">
        <x:v>P1</x:v>
      </x:c>
      <x:c r="D14" s="28" t="str">
        <x:v>Harden build and deployment credentials</x:v>
      </x:c>
      <x:c r="E14" s="28" t="str">
        <x:v>Security lead</x:v>
      </x:c>
      <x:c r="F14" s="28" t="str">
        <x:v>G0</x:v>
      </x:c>
      <x:c r="G14" s="28" t="str">
        <x:v>SEC-04; REP-01</x:v>
      </x:c>
      <x:c r="H14" s="28" t="str">
        <x:v>Open</x:v>
      </x:c>
      <x:c r="I14" s="28" t="str">
        <x:v>Minimal token scopes, environment-separated secrets, immutable action pins, protected runners and approved artifact access.</x:v>
      </x:c>
      <x:c r="J14" s="28" t="str">
        <x:v>F01; W01; W11; W13</x:v>
      </x:c>
      <x:c r="K14" s="30" t="str"/>
      <x:c r="L14" s="32" t="str"/>
      <x:c r="M14" s="30" t="str"/>
      <x:c r="N14" s="28" t="str">
        <x:v>https://drive.google.com/file/d/1m8qAjoBhpeD7sopp8Xld0sFMtJw5bN9E/view</x:v>
      </x:c>
      <x:c r="O14" s="28" t="str">
        <x:v>All enabled release scope; defer only by explicit product exclusion</x:v>
      </x:c>
    </x:row>
    <x:row r="15" ht="98" customHeight="1">
      <x:c r="A15" s="28" t="str">
        <x:v>REP-01</x:v>
      </x:c>
      <x:c r="B15" s="28" t="str">
        <x:v>Source convergence</x:v>
      </x:c>
      <x:c r="C15" s="28" t="str">
        <x:v>P0</x:v>
      </x:c>
      <x:c r="D15" s="28" t="str">
        <x:v>Establish one protected canonical candidate commit</x:v>
      </x:c>
      <x:c r="E15" s="28" t="str">
        <x:v>Repository maintainer</x:v>
      </x:c>
      <x:c r="F15" s="28" t="str">
        <x:v>G1</x:v>
      </x:c>
      <x:c r="G15" s="28" t="str">
        <x:v>SEC-01</x:v>
      </x:c>
      <x:c r="H15" s="28" t="str">
        <x:v>Open</x:v>
      </x:c>
      <x:c r="I15" s="28" t="str">
        <x:v>Repository URL, commit SHA, branch protections, ownership and accepted source manifest recorded; Drive archive classified separately.</x:v>
      </x:c>
      <x:c r="J15" s="28" t="str">
        <x:v>F02; F03; F06; F07; F24</x:v>
      </x:c>
      <x:c r="K15" s="30" t="str"/>
      <x:c r="L15" s="32" t="str"/>
      <x:c r="M15" s="30" t="str"/>
      <x:c r="N15" s="28" t="str">
        <x:v>https://drive.google.com/file/d/1NBjccCUL0GExYKlWVsGptSv3TttePFa7/view</x:v>
      </x:c>
      <x:c r="O15" s="28" t="str">
        <x:v>All enabled release scope; defer only by explicit product exclusion</x:v>
      </x:c>
    </x:row>
    <x:row r="16" ht="98" customHeight="1">
      <x:c r="A16" s="28" t="str">
        <x:v>REP-02</x:v>
      </x:c>
      <x:c r="B16" s="28" t="str">
        <x:v>Source convergence</x:v>
      </x:c>
      <x:c r="C16" s="28" t="str">
        <x:v>P0</x:v>
      </x:c>
      <x:c r="D16" s="28" t="str">
        <x:v>Reconcile every batch payload with current paths and hashes</x:v>
      </x:c>
      <x:c r="E16" s="28" t="str">
        <x:v>Repository maintainer</x:v>
      </x:c>
      <x:c r="F16" s="28" t="str">
        <x:v>G1</x:v>
      </x:c>
      <x:c r="G16" s="28" t="str">
        <x:v>REP-01</x:v>
      </x:c>
      <x:c r="H16" s="28" t="str">
        <x:v>Open</x:v>
      </x:c>
      <x:c r="I16" s="28" t="str">
        <x:v>Path-by-path accepted/rejected/superseded mapping includes original files, revised siblings and Batch 12 additions.</x:v>
      </x:c>
      <x:c r="J16" s="28" t="str">
        <x:v>F02; F03; F06; F07; F24</x:v>
      </x:c>
      <x:c r="K16" s="30" t="str"/>
      <x:c r="L16" s="32" t="str"/>
      <x:c r="M16" s="30" t="str"/>
      <x:c r="N16" s="28" t="str">
        <x:v>https://drive.google.com/file/d/1NBjccCUL0GExYKlWVsGptSv3TttePFa7/view</x:v>
      </x:c>
      <x:c r="O16" s="28" t="str">
        <x:v>All enabled release scope; defer only by explicit product exclusion</x:v>
      </x:c>
    </x:row>
    <x:row r="17" ht="98" customHeight="1">
      <x:c r="A17" s="28" t="str">
        <x:v>REP-03</x:v>
      </x:c>
      <x:c r="B17" s="28" t="str">
        <x:v>Source convergence</x:v>
      </x:c>
      <x:c r="C17" s="28" t="str">
        <x:v>P0</x:v>
      </x:c>
      <x:c r="D17" s="28" t="str">
        <x:v>Promote approved fixes without downgrading newer code</x:v>
      </x:c>
      <x:c r="E17" s="28" t="str">
        <x:v>Repository maintainer</x:v>
      </x:c>
      <x:c r="F17" s="28" t="str">
        <x:v>G1</x:v>
      </x:c>
      <x:c r="G17" s="28" t="str">
        <x:v>REP-02</x:v>
      </x:c>
      <x:c r="H17" s="28" t="str">
        <x:v>Open</x:v>
      </x:c>
      <x:c r="I17" s="28" t="str">
        <x:v>Reviewed merge commits preserve current auth/payment interfaces; no blind application of cumulative v1–v4 archives.</x:v>
      </x:c>
      <x:c r="J17" s="28" t="str">
        <x:v>F02; F03; F06; F07; F24</x:v>
      </x:c>
      <x:c r="K17" s="30" t="str"/>
      <x:c r="L17" s="32" t="str"/>
      <x:c r="M17" s="30" t="str"/>
      <x:c r="N17" s="28" t="str">
        <x:v>https://drive.google.com/file/d/1NBjccCUL0GExYKlWVsGptSv3TttePFa7/view</x:v>
      </x:c>
      <x:c r="O17" s="28" t="str">
        <x:v>All enabled release scope; defer only by explicit product exclusion</x:v>
      </x:c>
    </x:row>
    <x:row r="18" ht="98" customHeight="1">
      <x:c r="A18" s="28" t="str">
        <x:v>REP-04</x:v>
      </x:c>
      <x:c r="B18" s="28" t="str">
        <x:v>Source convergence</x:v>
      </x:c>
      <x:c r="C18" s="28" t="str">
        <x:v>P0</x:v>
      </x:c>
      <x:c r="D18" s="28" t="str">
        <x:v>Repair boundary validator and real-source exception handling</x:v>
      </x:c>
      <x:c r="E18" s="28" t="str">
        <x:v>Repository maintainer</x:v>
      </x:c>
      <x:c r="F18" s="28" t="str">
        <x:v>G1</x:v>
      </x:c>
      <x:c r="G18" s="28" t="str">
        <x:v>REP-03</x:v>
      </x:c>
      <x:c r="H18" s="28" t="str">
        <x:v>Open</x:v>
      </x:c>
      <x:c r="I18" s="28" t="str">
        <x:v>Minimal valid fixture and actual migration inventory pass; prohibited runtime schema/routes and expired/wrong-hash exceptions fail.</x:v>
      </x:c>
      <x:c r="J18" s="28" t="str">
        <x:v>F02; F03; F06; F07; F24</x:v>
      </x:c>
      <x:c r="K18" s="30" t="str"/>
      <x:c r="L18" s="32" t="str"/>
      <x:c r="M18" s="30" t="str"/>
      <x:c r="N18" s="28" t="str">
        <x:v>https://drive.google.com/file/d/1NBjccCUL0GExYKlWVsGptSv3TttePFa7/view</x:v>
      </x:c>
      <x:c r="O18" s="28" t="str">
        <x:v>All enabled release scope; defer only by explicit product exclusion</x:v>
      </x:c>
    </x:row>
    <x:row r="19" ht="98" customHeight="1">
      <x:c r="A19" s="28" t="str">
        <x:v>REP-05</x:v>
      </x:c>
      <x:c r="B19" s="28" t="str">
        <x:v>Source convergence</x:v>
      </x:c>
      <x:c r="C19" s="28" t="str">
        <x:v>P1</x:v>
      </x:c>
      <x:c r="D19" s="28" t="str">
        <x:v>Separate source, generated output and archival evidence</x:v>
      </x:c>
      <x:c r="E19" s="28" t="str">
        <x:v>Repository maintainer</x:v>
      </x:c>
      <x:c r="F19" s="28" t="str">
        <x:v>G1</x:v>
      </x:c>
      <x:c r="G19" s="28" t="str">
        <x:v>REP-02; SEC-06</x:v>
      </x:c>
      <x:c r="H19" s="28" t="str">
        <x:v>Open</x:v>
      </x:c>
      <x:c r="I19" s="28" t="str">
        <x:v>Clean fresh clone excludes caches, build outputs, signing files and archive copies; recoverable evidence retained outside tracked source.</x:v>
      </x:c>
      <x:c r="J19" s="28" t="str">
        <x:v>F02; F03; F06; F07; F24</x:v>
      </x:c>
      <x:c r="K19" s="30" t="str"/>
      <x:c r="L19" s="32" t="str"/>
      <x:c r="M19" s="30" t="str"/>
      <x:c r="N19" s="28" t="str">
        <x:v>https://drive.google.com/file/d/1NBjccCUL0GExYKlWVsGptSv3TttePFa7/view</x:v>
      </x:c>
      <x:c r="O19" s="28" t="str">
        <x:v>All enabled release scope; defer only by explicit product exclusion</x:v>
      </x:c>
    </x:row>
    <x:row r="20" ht="98" customHeight="1">
      <x:c r="A20" s="28" t="str">
        <x:v>REP-06</x:v>
      </x:c>
      <x:c r="B20" s="28" t="str">
        <x:v>Source convergence</x:v>
      </x:c>
      <x:c r="C20" s="28" t="str">
        <x:v>P1</x:v>
      </x:c>
      <x:c r="D20" s="28" t="str">
        <x:v>Create source-to-build-to-deployment manifest</x:v>
      </x:c>
      <x:c r="E20" s="28" t="str">
        <x:v>Repository maintainer</x:v>
      </x:c>
      <x:c r="F20" s="28" t="str">
        <x:v>G1</x:v>
      </x:c>
      <x:c r="G20" s="28" t="str">
        <x:v>REP-01; REP-03</x:v>
      </x:c>
      <x:c r="H20" s="28" t="str">
        <x:v>Open</x:v>
      </x:c>
      <x:c r="I20" s="28" t="str">
        <x:v>Every artifact maps to source SHA, dependencies, toolchain, config fingerprint, migrations and intended environment.</x:v>
      </x:c>
      <x:c r="J20" s="28" t="str">
        <x:v>F02; F03; F06; F07; F24</x:v>
      </x:c>
      <x:c r="K20" s="30" t="str"/>
      <x:c r="L20" s="32" t="str"/>
      <x:c r="M20" s="30" t="str"/>
      <x:c r="N20" s="28" t="str">
        <x:v>https://drive.google.com/file/d/1NBjccCUL0GExYKlWVsGptSv3TttePFa7/view</x:v>
      </x:c>
      <x:c r="O20" s="28" t="str">
        <x:v>All enabled release scope; defer only by explicit product exclusion</x:v>
      </x:c>
    </x:row>
    <x:row r="21" ht="98" customHeight="1">
      <x:c r="A21" s="28" t="str">
        <x:v>REP-07</x:v>
      </x:c>
      <x:c r="B21" s="28" t="str">
        <x:v>Source convergence</x:v>
      </x:c>
      <x:c r="C21" s="28" t="str">
        <x:v>P1</x:v>
      </x:c>
      <x:c r="D21" s="28" t="str">
        <x:v>Register all current backend/native verification commands</x:v>
      </x:c>
      <x:c r="E21" s="28" t="str">
        <x:v>Repository maintainer</x:v>
      </x:c>
      <x:c r="F21" s="28" t="str">
        <x:v>G1</x:v>
      </x:c>
      <x:c r="G21" s="28" t="str">
        <x:v>REP-03</x:v>
      </x:c>
      <x:c r="H21" s="28" t="str">
        <x:v>Open</x:v>
      </x:c>
      <x:c r="I21" s="28" t="str">
        <x:v>Main CI invokes relevant current module suites; missing SDK/platform jobs report blocked rather than success.</x:v>
      </x:c>
      <x:c r="J21" s="28" t="str">
        <x:v>F02; F03; F06; F07; F24</x:v>
      </x:c>
      <x:c r="K21" s="30" t="str"/>
      <x:c r="L21" s="32" t="str"/>
      <x:c r="M21" s="30" t="str"/>
      <x:c r="N21" s="28" t="str">
        <x:v>https://drive.google.com/file/d/1NBjccCUL0GExYKlWVsGptSv3TttePFa7/view</x:v>
      </x:c>
      <x:c r="O21" s="28" t="str">
        <x:v>All enabled release scope; defer only by explicit product exclusion</x:v>
      </x:c>
    </x:row>
    <x:row r="22" ht="98" customHeight="1">
      <x:c r="A22" s="28" t="str">
        <x:v>REP-08</x:v>
      </x:c>
      <x:c r="B22" s="28" t="str">
        <x:v>Source convergence</x:v>
      </x:c>
      <x:c r="C22" s="28" t="str">
        <x:v>P1</x:v>
      </x:c>
      <x:c r="D22" s="28" t="str">
        <x:v>Install/reconcile iOS recovery source into the candidate</x:v>
      </x:c>
      <x:c r="E22" s="28" t="str">
        <x:v>Repository maintainer</x:v>
      </x:c>
      <x:c r="F22" s="28" t="str">
        <x:v>G1</x:v>
      </x:c>
      <x:c r="G22" s="28" t="str">
        <x:v>REP-02</x:v>
      </x:c>
      <x:c r="H22" s="28" t="str">
        <x:v>Open</x:v>
      </x:c>
      <x:c r="I22" s="28" t="str">
        <x:v>Thirteen Batch 12 source paths accepted or replaced explicitly; imports and build registration tracked, not archive-only.</x:v>
      </x:c>
      <x:c r="J22" s="28" t="str">
        <x:v>F02; F03; F06; F07; F24</x:v>
      </x:c>
      <x:c r="K22" s="30" t="str"/>
      <x:c r="L22" s="32" t="str"/>
      <x:c r="M22" s="30" t="str"/>
      <x:c r="N22" s="28" t="str">
        <x:v>https://drive.google.com/file/d/1NBjccCUL0GExYKlWVsGptSv3TttePFa7/view</x:v>
      </x:c>
      <x:c r="O22" s="28" t="str">
        <x:v>All enabled release scope; defer only by explicit product exclusion</x:v>
      </x:c>
    </x:row>
    <x:row r="23" ht="98" customHeight="1">
      <x:c r="A23" s="28" t="str">
        <x:v>REP-09</x:v>
      </x:c>
      <x:c r="B23" s="28" t="str">
        <x:v>Source convergence</x:v>
      </x:c>
      <x:c r="C23" s="28" t="str">
        <x:v>P1</x:v>
      </x:c>
      <x:c r="D23" s="28" t="str">
        <x:v>Pin and reproduce supported toolchains and dependency locks</x:v>
      </x:c>
      <x:c r="E23" s="28" t="str">
        <x:v>Repository maintainer</x:v>
      </x:c>
      <x:c r="F23" s="28" t="str">
        <x:v>G1</x:v>
      </x:c>
      <x:c r="G23" s="28" t="str">
        <x:v>REP-01</x:v>
      </x:c>
      <x:c r="H23" s="28" t="str">
        <x:v>Open</x:v>
      </x:c>
      <x:c r="I23" s="28" t="str">
        <x:v>Fresh install with repository-required Dart/Flutter/Node/npm and pinned Android/Apple tools succeeds without lock mutation.</x:v>
      </x:c>
      <x:c r="J23" s="28" t="str">
        <x:v>F02; F03; F06; F07; F24</x:v>
      </x:c>
      <x:c r="K23" s="30" t="str"/>
      <x:c r="L23" s="32" t="str"/>
      <x:c r="M23" s="30" t="str"/>
      <x:c r="N23" s="28" t="str">
        <x:v>https://drive.google.com/file/d/1NBjccCUL0GExYKlWVsGptSv3TttePFa7/view</x:v>
      </x:c>
      <x:c r="O23" s="28" t="str">
        <x:v>All enabled release scope; defer only by explicit product exclusion</x:v>
      </x:c>
    </x:row>
    <x:row r="24" ht="98" customHeight="1">
      <x:c r="A24" s="28" t="str">
        <x:v>REP-10</x:v>
      </x:c>
      <x:c r="B24" s="28" t="str">
        <x:v>Source convergence</x:v>
      </x:c>
      <x:c r="C24" s="28" t="str">
        <x:v>P1</x:v>
      </x:c>
      <x:c r="D24" s="28" t="str">
        <x:v>Normalize governance hierarchy and task identifiers</x:v>
      </x:c>
      <x:c r="E24" s="28" t="str">
        <x:v>Repository maintainer</x:v>
      </x:c>
      <x:c r="F24" s="28" t="str">
        <x:v>G1</x:v>
      </x:c>
      <x:c r="G24" s="28" t="str">
        <x:v>REP-02</x:v>
      </x:c>
      <x:c r="H24" s="28" t="str">
        <x:v>Open</x:v>
      </x:c>
      <x:c r="I24" s="28" t="str">
        <x:v>One design authority/adapter hierarchy, unique task IDs, authoritative object disposition register and dated evidence semantics.</x:v>
      </x:c>
      <x:c r="J24" s="28" t="str">
        <x:v>F02; F03; F06; F07; F24</x:v>
      </x:c>
      <x:c r="K24" s="30" t="str"/>
      <x:c r="L24" s="32" t="str"/>
      <x:c r="M24" s="30" t="str"/>
      <x:c r="N24" s="28" t="str">
        <x:v>https://drive.google.com/file/d/1NBjccCUL0GExYKlWVsGptSv3TttePFa7/view</x:v>
      </x:c>
      <x:c r="O24" s="28" t="str">
        <x:v>All enabled release scope; defer only by explicit product exclusion</x:v>
      </x:c>
    </x:row>
    <x:row r="25" ht="98" customHeight="1">
      <x:c r="A25" s="28" t="str">
        <x:v>ARC-01</x:v>
      </x:c>
      <x:c r="B25" s="28" t="str">
        <x:v>Architecture and boundaries</x:v>
      </x:c>
      <x:c r="C25" s="28" t="str">
        <x:v>P0</x:v>
      </x:c>
      <x:c r="D25" s="28" t="str">
        <x:v>Approve data-store boundaries and single-writer topology</x:v>
      </x:c>
      <x:c r="E25" s="28" t="str">
        <x:v>Technical architect</x:v>
      </x:c>
      <x:c r="F25" s="28" t="str">
        <x:v>G2</x:v>
      </x:c>
      <x:c r="G25" s="28" t="str">
        <x:v>REP-06; REG-01</x:v>
      </x:c>
      <x:c r="H25" s="28" t="str">
        <x:v>Open</x:v>
      </x:c>
      <x:c r="I25" s="28" t="str">
        <x:v>ADR identifies command authorities, transaction boundaries, backups, residency and rollback; no unsupported cross-DB atomicity claim.</x:v>
      </x:c>
      <x:c r="J25" s="28" t="str">
        <x:v>F10; F15; F16; S13; W02; W03; W04</x:v>
      </x:c>
      <x:c r="K25" s="30" t="str"/>
      <x:c r="L25" s="32" t="str"/>
      <x:c r="M25" s="30" t="str"/>
      <x:c r="N25" s="28" t="str">
        <x:v>https://drive.google.com/file/d/1ZMOX3aVmWujKCYV_YahrkQ5NPbFXuY7h/view</x:v>
      </x:c>
      <x:c r="O25" s="28" t="str">
        <x:v>All enabled release scope; defer only by explicit product exclusion</x:v>
      </x:c>
    </x:row>
    <x:row r="26" ht="98" customHeight="1">
      <x:c r="A26" s="28" t="str">
        <x:v>ARC-02</x:v>
      </x:c>
      <x:c r="B26" s="28" t="str">
        <x:v>Architecture and boundaries</x:v>
      </x:c>
      <x:c r="C26" s="28" t="str">
        <x:v>P0</x:v>
      </x:c>
      <x:c r="D26" s="28" t="str">
        <x:v>Benchmark actual D1 transaction and trigger behavior</x:v>
      </x:c>
      <x:c r="E26" s="28" t="str">
        <x:v>Technical architect</x:v>
      </x:c>
      <x:c r="F26" s="28" t="str">
        <x:v>G2</x:v>
      </x:c>
      <x:c r="G26" s="28" t="str">
        <x:v>ARC-01; DAT-03</x:v>
      </x:c>
      <x:c r="H26" s="28" t="str">
        <x:v>Open</x:v>
      </x:c>
      <x:c r="I26" s="28" t="str">
        <x:v>Real isolated D1 tests cover every financial statement/trigger, limits, foreign keys, retries, concurrency and rollback.</x:v>
      </x:c>
      <x:c r="J26" s="28" t="str">
        <x:v>F10; F15; F16; S13; W02; W03; W04</x:v>
      </x:c>
      <x:c r="K26" s="30" t="str"/>
      <x:c r="L26" s="32" t="str"/>
      <x:c r="M26" s="30" t="str"/>
      <x:c r="N26" s="28" t="str">
        <x:v>https://drive.google.com/file/d/1ZMOX3aVmWujKCYV_YahrkQ5NPbFXuY7h/view</x:v>
      </x:c>
      <x:c r="O26" s="28" t="str">
        <x:v>All enabled release scope; defer only by explicit product exclusion</x:v>
      </x:c>
    </x:row>
    <x:row r="27" ht="98" customHeight="1">
      <x:c r="A27" s="28" t="str">
        <x:v>ARC-03</x:v>
      </x:c>
      <x:c r="B27" s="28" t="str">
        <x:v>Architecture and boundaries</x:v>
      </x:c>
      <x:c r="C27" s="28" t="str">
        <x:v>P0</x:v>
      </x:c>
      <x:c r="D27" s="28" t="str">
        <x:v>Define revocation semantics by operation</x:v>
      </x:c>
      <x:c r="E27" s="28" t="str">
        <x:v>Technical architect</x:v>
      </x:c>
      <x:c r="F27" s="28" t="str">
        <x:v>G2</x:v>
      </x:c>
      <x:c r="G27" s="28" t="str">
        <x:v>ARC-01; AUT-01</x:v>
      </x:c>
      <x:c r="H27" s="28" t="str">
        <x:v>Open</x:v>
      </x:c>
      <x:c r="I27" s="28" t="str">
        <x:v>Checkout, read, allocation, refund and admin decisions have documented acceptance points and tested revocation races.</x:v>
      </x:c>
      <x:c r="J27" s="28" t="str">
        <x:v>F10; F15; F16; S13; W02; W03; W04</x:v>
      </x:c>
      <x:c r="K27" s="30" t="str"/>
      <x:c r="L27" s="32" t="str"/>
      <x:c r="M27" s="30" t="str"/>
      <x:c r="N27" s="28" t="str">
        <x:v>https://drive.google.com/file/d/1ZMOX3aVmWujKCYV_YahrkQ5NPbFXuY7h/view</x:v>
      </x:c>
      <x:c r="O27" s="28" t="str">
        <x:v>All enabled release scope; defer only by explicit product exclusion</x:v>
      </x:c>
    </x:row>
    <x:row r="28" ht="98" customHeight="1">
      <x:c r="A28" s="28" t="str">
        <x:v>ARC-04</x:v>
      </x:c>
      <x:c r="B28" s="28" t="str">
        <x:v>Architecture and boundaries</x:v>
      </x:c>
      <x:c r="C28" s="28" t="str">
        <x:v>P1</x:v>
      </x:c>
      <x:c r="D28" s="28" t="str">
        <x:v>Reassess custom authentication operational burden</x:v>
      </x:c>
      <x:c r="E28" s="28" t="str">
        <x:v>Technical architect</x:v>
      </x:c>
      <x:c r="F28" s="28" t="str">
        <x:v>G2</x:v>
      </x:c>
      <x:c r="G28" s="28" t="str">
        <x:v>AUT-01; ARC-01</x:v>
      </x:c>
      <x:c r="H28" s="28" t="str">
        <x:v>Open</x:v>
      </x:c>
      <x:c r="I28" s="28" t="str">
        <x:v>Threat model and cost/risk ADR compares maintaining custom identity to approved alternatives; no identity rewrite without migration plan.</x:v>
      </x:c>
      <x:c r="J28" s="28" t="str">
        <x:v>F10; F15; F16; S13; W02; W03; W04</x:v>
      </x:c>
      <x:c r="K28" s="30" t="str"/>
      <x:c r="L28" s="32" t="str"/>
      <x:c r="M28" s="30" t="str"/>
      <x:c r="N28" s="28" t="str">
        <x:v>https://drive.google.com/file/d/1ZMOX3aVmWujKCYV_YahrkQ5NPbFXuY7h/view</x:v>
      </x:c>
      <x:c r="O28" s="28" t="str">
        <x:v>All enabled release scope; defer only by explicit product exclusion</x:v>
      </x:c>
    </x:row>
    <x:row r="29" ht="98" customHeight="1">
      <x:c r="A29" s="28" t="str">
        <x:v>ARC-05</x:v>
      </x:c>
      <x:c r="B29" s="28" t="str">
        <x:v>Architecture and boundaries</x:v>
      </x:c>
      <x:c r="C29" s="28" t="str">
        <x:v>P1</x:v>
      </x:c>
      <x:c r="D29" s="28" t="str">
        <x:v>Version all service and public client contracts</x:v>
      </x:c>
      <x:c r="E29" s="28" t="str">
        <x:v>Technical architect</x:v>
      </x:c>
      <x:c r="F29" s="28" t="str">
        <x:v>G2</x:v>
      </x:c>
      <x:c r="G29" s="28" t="str">
        <x:v>REP-06</x:v>
      </x:c>
      <x:c r="H29" s="28" t="str">
        <x:v>Open</x:v>
      </x:c>
      <x:c r="I29" s="28" t="str">
        <x:v>Generated schemas, compatibility matrix and tests cover old clients, unknown fields, error envelopes and enum evolution.</x:v>
      </x:c>
      <x:c r="J29" s="28" t="str">
        <x:v>F10; F15; F16; S13; W02; W03; W04</x:v>
      </x:c>
      <x:c r="K29" s="30" t="str"/>
      <x:c r="L29" s="32" t="str"/>
      <x:c r="M29" s="30" t="str"/>
      <x:c r="N29" s="28" t="str">
        <x:v>https://drive.google.com/file/d/1ZMOX3aVmWujKCYV_YahrkQ5NPbFXuY7h/view</x:v>
      </x:c>
      <x:c r="O29" s="28" t="str">
        <x:v>All enabled release scope; defer only by explicit product exclusion</x:v>
      </x:c>
    </x:row>
    <x:row r="30" ht="98" customHeight="1">
      <x:c r="A30" s="28" t="str">
        <x:v>ARC-06</x:v>
      </x:c>
      <x:c r="B30" s="28" t="str">
        <x:v>Architecture and boundaries</x:v>
      </x:c>
      <x:c r="C30" s="28" t="str">
        <x:v>P1</x:v>
      </x:c>
      <x:c r="D30" s="28" t="str">
        <x:v>Centralize immutable club/slug/partner mapping</x:v>
      </x:c>
      <x:c r="E30" s="28" t="str">
        <x:v>Technical architect</x:v>
      </x:c>
      <x:c r="F30" s="28" t="str">
        <x:v>G2</x:v>
      </x:c>
      <x:c r="G30" s="28" t="str">
        <x:v>DAT-01</x:v>
      </x:c>
      <x:c r="H30" s="28" t="str">
        <x:v>Open</x:v>
      </x:c>
      <x:c r="I30" s="28" t="str">
        <x:v>Missing, conflicting and wrong-host tenant inputs fail; IDs preserved and all five release mappings signed off.</x:v>
      </x:c>
      <x:c r="J30" s="28" t="str">
        <x:v>F10; F15; F16; S13; W02; W03; W04</x:v>
      </x:c>
      <x:c r="K30" s="30" t="str"/>
      <x:c r="L30" s="32" t="str"/>
      <x:c r="M30" s="30" t="str"/>
      <x:c r="N30" s="28" t="str">
        <x:v>https://drive.google.com/file/d/1ZMOX3aVmWujKCYV_YahrkQ5NPbFXuY7h/view</x:v>
      </x:c>
      <x:c r="O30" s="28" t="str">
        <x:v>All enabled release scope; defer only by explicit product exclusion</x:v>
      </x:c>
    </x:row>
    <x:row r="31" ht="98" customHeight="1">
      <x:c r="A31" s="28" t="str">
        <x:v>ARC-07</x:v>
      </x:c>
      <x:c r="B31" s="28" t="str">
        <x:v>Architecture and boundaries</x:v>
      </x:c>
      <x:c r="C31" s="28" t="str">
        <x:v>P0</x:v>
      </x:c>
      <x:c r="D31" s="28" t="str">
        <x:v>Preserve one global consumed-payment-reference authority</x:v>
      </x:c>
      <x:c r="E31" s="28" t="str">
        <x:v>Technical architect</x:v>
      </x:c>
      <x:c r="F31" s="28" t="str">
        <x:v>G2</x:v>
      </x:c>
      <x:c r="G31" s="28" t="str">
        <x:v>ARC-01</x:v>
      </x:c>
      <x:c r="H31" s="28" t="str">
        <x:v>Open</x:v>
      </x:c>
      <x:c r="I31" s="28" t="str">
        <x:v>Cross-club/provider race tests and historic claims prevent reuse; any partition proposal includes a proven replacement uniqueness mechanism.</x:v>
      </x:c>
      <x:c r="J31" s="28" t="str">
        <x:v>F10; F15; F16; S13; W02; W03; W04</x:v>
      </x:c>
      <x:c r="K31" s="30" t="str"/>
      <x:c r="L31" s="32" t="str"/>
      <x:c r="M31" s="30" t="str"/>
      <x:c r="N31" s="28" t="str">
        <x:v>https://drive.google.com/file/d/1ZMOX3aVmWujKCYV_YahrkQ5NPbFXuY7h/view</x:v>
      </x:c>
      <x:c r="O31" s="28" t="str">
        <x:v>All enabled release scope; defer only by explicit product exclusion</x:v>
      </x:c>
    </x:row>
    <x:row r="32" ht="98" customHeight="1">
      <x:c r="A32" s="28" t="str">
        <x:v>ARC-08</x:v>
      </x:c>
      <x:c r="B32" s="28" t="str">
        <x:v>Architecture and boundaries</x:v>
      </x:c>
      <x:c r="C32" s="28" t="str">
        <x:v>P1</x:v>
      </x:c>
      <x:c r="D32" s="28" t="str">
        <x:v>Approve currency units, rounding, timezone and period rules</x:v>
      </x:c>
      <x:c r="E32" s="28" t="str">
        <x:v>Technical architect</x:v>
      </x:c>
      <x:c r="F32" s="28" t="str">
        <x:v>G2</x:v>
      </x:c>
      <x:c r="G32" s="28" t="str">
        <x:v>DAT-06; REG-06</x:v>
      </x:c>
      <x:c r="H32" s="28" t="str">
        <x:v>Open</x:v>
      </x:c>
      <x:c r="I32" s="28" t="str">
        <x:v>Tests cover RWF/BIF/ZMW/CDF/MZN conventions, leap dates and cutoff boundaries using signed business rules.</x:v>
      </x:c>
      <x:c r="J32" s="28" t="str">
        <x:v>F10; F15; F16; S13; W02; W03; W04</x:v>
      </x:c>
      <x:c r="K32" s="30" t="str"/>
      <x:c r="L32" s="32" t="str"/>
      <x:c r="M32" s="30" t="str"/>
      <x:c r="N32" s="28" t="str">
        <x:v>https://drive.google.com/file/d/1ZMOX3aVmWujKCYV_YahrkQ5NPbFXuY7h/view</x:v>
      </x:c>
      <x:c r="O32" s="28" t="str">
        <x:v>All enabled release scope; defer only by explicit product exclusion</x:v>
      </x:c>
    </x:row>
    <x:row r="33" ht="98" customHeight="1">
      <x:c r="A33" s="28" t="str">
        <x:v>ARC-09</x:v>
      </x:c>
      <x:c r="B33" s="28" t="str">
        <x:v>Architecture and boundaries</x:v>
      </x:c>
      <x:c r="C33" s="28" t="str">
        <x:v>P1</x:v>
      </x:c>
      <x:c r="D33" s="28" t="str">
        <x:v>Minimize service capabilities and external attack surface</x:v>
      </x:c>
      <x:c r="E33" s="28" t="str">
        <x:v>Technical architect</x:v>
      </x:c>
      <x:c r="F33" s="28" t="str">
        <x:v>G2</x:v>
      </x:c>
      <x:c r="G33" s="28" t="str">
        <x:v>ARC-05; SEC-09</x:v>
      </x:c>
      <x:c r="H33" s="28" t="str">
        <x:v>Open</x:v>
      </x:c>
      <x:c r="I33" s="28" t="str">
        <x:v>Each binding has an explicit principal and allowed methods; public HTTP cannot invoke financial or admin private capabilities.</x:v>
      </x:c>
      <x:c r="J33" s="28" t="str">
        <x:v>F10; F15; F16; S13; W02; W03; W04</x:v>
      </x:c>
      <x:c r="K33" s="30" t="str"/>
      <x:c r="L33" s="32" t="str"/>
      <x:c r="M33" s="30" t="str"/>
      <x:c r="N33" s="28" t="str">
        <x:v>https://drive.google.com/file/d/1ZMOX3aVmWujKCYV_YahrkQ5NPbFXuY7h/view</x:v>
      </x:c>
      <x:c r="O33" s="28" t="str">
        <x:v>All enabled release scope; defer only by explicit product exclusion</x:v>
      </x:c>
    </x:row>
    <x:row r="34" ht="98" customHeight="1">
      <x:c r="A34" s="28" t="str">
        <x:v>ARC-10</x:v>
      </x:c>
      <x:c r="B34" s="28" t="str">
        <x:v>Architecture and boundaries</x:v>
      </x:c>
      <x:c r="C34" s="28" t="str">
        <x:v>P1</x:v>
      </x:c>
      <x:c r="D34" s="28" t="str">
        <x:v>Measure game-day capacity and choose scaling boundaries</x:v>
      </x:c>
      <x:c r="E34" s="28" t="str">
        <x:v>Technical architect</x:v>
      </x:c>
      <x:c r="F34" s="28" t="str">
        <x:v>G2</x:v>
      </x:c>
      <x:c r="G34" s="28" t="str">
        <x:v>ARC-02; OPS-01</x:v>
      </x:c>
      <x:c r="H34" s="28" t="str">
        <x:v>Open</x:v>
      </x:c>
      <x:c r="I34" s="28" t="str">
        <x:v>Load model includes read/write mix, OTP bursts and shared databases; p95/p99, overload behavior and cost satisfy approved budgets.</x:v>
      </x:c>
      <x:c r="J34" s="28" t="str">
        <x:v>F10; F15; F16; S13; W02; W03; W04</x:v>
      </x:c>
      <x:c r="K34" s="30" t="str"/>
      <x:c r="L34" s="32" t="str"/>
      <x:c r="M34" s="30" t="str"/>
      <x:c r="N34" s="28" t="str">
        <x:v>https://drive.google.com/file/d/1ZMOX3aVmWujKCYV_YahrkQ5NPbFXuY7h/view</x:v>
      </x:c>
      <x:c r="O34" s="28" t="str">
        <x:v>All enabled release scope; defer only by explicit product exclusion</x:v>
      </x:c>
    </x:row>
    <x:row r="35" ht="98" customHeight="1">
      <x:c r="A35" s="28" t="str">
        <x:v>DAT-01</x:v>
      </x:c>
      <x:c r="B35" s="28" t="str">
        <x:v>Data migration and integrity</x:v>
      </x:c>
      <x:c r="C35" s="28" t="str">
        <x:v>P0</x:v>
      </x:c>
      <x:c r="D35" s="28" t="str">
        <x:v>Refresh complete source-object and runtime-caller inventory</x:v>
      </x:c>
      <x:c r="E35" s="28" t="str">
        <x:v>Data migration lead</x:v>
      </x:c>
      <x:c r="F35" s="28" t="str">
        <x:v>G2</x:v>
      </x:c>
      <x:c r="G35" s="28" t="str">
        <x:v>SEC-06; REP-01</x:v>
      </x:c>
      <x:c r="H35" s="28" t="str">
        <x:v>Open</x:v>
      </x:c>
      <x:c r="I35" s="28" t="str">
        <x:v>Every table/view/function/trigger/policy/job/provider call has source identity, disposition, owner and evidence; dynamic calls traced.</x:v>
      </x:c>
      <x:c r="J35" s="28" t="str">
        <x:v>F14; F24; S06; S28; W09</x:v>
      </x:c>
      <x:c r="K35" s="30" t="str"/>
      <x:c r="L35" s="32" t="str"/>
      <x:c r="M35" s="30" t="str"/>
      <x:c r="N35" s="28" t="str">
        <x:v>https://drive.google.com/file/d/1-7B4JcFcWG3OrLUhBamPvNLURFKqU5Kl/view</x:v>
      </x:c>
      <x:c r="O35" s="28" t="str">
        <x:v>All enabled release scope; defer only by explicit product exclusion</x:v>
      </x:c>
    </x:row>
    <x:row r="36" ht="98" customHeight="1">
      <x:c r="A36" s="28" t="str">
        <x:v>DAT-02</x:v>
      </x:c>
      <x:c r="B36" s="28" t="str">
        <x:v>Data migration and integrity</x:v>
      </x:c>
      <x:c r="C36" s="28" t="str">
        <x:v>P0</x:v>
      </x:c>
      <x:c r="D36" s="28" t="str">
        <x:v>Reconcile local versus deployed function behavior</x:v>
      </x:c>
      <x:c r="E36" s="28" t="str">
        <x:v>Data migration lead</x:v>
      </x:c>
      <x:c r="F36" s="28" t="str">
        <x:v>G2</x:v>
      </x:c>
      <x:c r="G36" s="28" t="str">
        <x:v>DAT-01</x:v>
      </x:c>
      <x:c r="H36" s="28" t="str">
        <x:v>Open</x:v>
      </x:c>
      <x:c r="I36" s="28" t="str">
        <x:v>All 18 deployed entrypoints and local-only Wallet functions mapped; bundle differences compared behaviorally and retired scope approved.</x:v>
      </x:c>
      <x:c r="J36" s="28" t="str">
        <x:v>F14; F24; S06; S28; W09</x:v>
      </x:c>
      <x:c r="K36" s="30" t="str"/>
      <x:c r="L36" s="32" t="str"/>
      <x:c r="M36" s="30" t="str"/>
      <x:c r="N36" s="28" t="str">
        <x:v>https://drive.google.com/file/d/1-7B4JcFcWG3OrLUhBamPvNLURFKqU5Kl/view</x:v>
      </x:c>
      <x:c r="O36" s="28" t="str">
        <x:v>All enabled release scope; defer only by explicit product exclusion</x:v>
      </x:c>
    </x:row>
    <x:row r="37" ht="98" customHeight="1">
      <x:c r="A37" s="28" t="str">
        <x:v>DAT-03</x:v>
      </x:c>
      <x:c r="B37" s="28" t="str">
        <x:v>Data migration and integrity</x:v>
      </x:c>
      <x:c r="C37" s="28" t="str">
        <x:v>P0</x:v>
      </x:c>
      <x:c r="D37" s="28" t="str">
        <x:v>Create isolated migration environments with approved locality</x:v>
      </x:c>
      <x:c r="E37" s="28" t="str">
        <x:v>Data migration lead</x:v>
      </x:c>
      <x:c r="F37" s="28" t="str">
        <x:v>G2</x:v>
      </x:c>
      <x:c r="G37" s="28" t="str">
        <x:v>REG-01; ARC-01</x:v>
      </x:c>
      <x:c r="H37" s="28" t="str">
        <x:v>Open</x:v>
      </x:c>
      <x:c r="I37" s="28" t="str">
        <x:v>Account, resource IDs, bindings and dummy data checked; no existing project resources reused by accident.</x:v>
      </x:c>
      <x:c r="J37" s="28" t="str">
        <x:v>F14; F24; S06; S28; W09</x:v>
      </x:c>
      <x:c r="K37" s="30" t="str"/>
      <x:c r="L37" s="32" t="str"/>
      <x:c r="M37" s="30" t="str"/>
      <x:c r="N37" s="28" t="str">
        <x:v>https://drive.google.com/file/d/1-7B4JcFcWG3OrLUhBamPvNLURFKqU5Kl/view</x:v>
      </x:c>
      <x:c r="O37" s="28" t="str">
        <x:v>All enabled release scope; defer only by explicit product exclusion</x:v>
      </x:c>
    </x:row>
    <x:row r="38" ht="98" customHeight="1">
      <x:c r="A38" s="28" t="str">
        <x:v>DAT-04</x:v>
      </x:c>
      <x:c r="B38" s="28" t="str">
        <x:v>Data migration and integrity</x:v>
      </x:c>
      <x:c r="C38" s="28" t="str">
        <x:v>P0</x:v>
      </x:c>
      <x:c r="D38" s="28" t="str">
        <x:v>Produce a transactionally consistent final export strategy</x:v>
      </x:c>
      <x:c r="E38" s="28" t="str">
        <x:v>Data migration lead</x:v>
      </x:c>
      <x:c r="F38" s="28" t="str">
        <x:v>G2</x:v>
      </x:c>
      <x:c r="G38" s="28" t="str">
        <x:v>DAT-01; DAT-03</x:v>
      </x:c>
      <x:c r="H38" s="28" t="str">
        <x:v>Open</x:v>
      </x:c>
      <x:c r="I38" s="28" t="str">
        <x:v>Rehearsal includes write freeze/delta capture, Auth/app data, privileges, operational dependencies and exact cutoff proof.</x:v>
      </x:c>
      <x:c r="J38" s="28" t="str">
        <x:v>F14; F24; S06; S28; W09</x:v>
      </x:c>
      <x:c r="K38" s="30" t="str"/>
      <x:c r="L38" s="32" t="str"/>
      <x:c r="M38" s="30" t="str"/>
      <x:c r="N38" s="28" t="str">
        <x:v>https://drive.google.com/file/d/1-7B4JcFcWG3OrLUhBamPvNLURFKqU5Kl/view</x:v>
      </x:c>
      <x:c r="O38" s="28" t="str">
        <x:v>All enabled release scope; defer only by explicit product exclusion</x:v>
      </x:c>
    </x:row>
    <x:row r="39" ht="98" customHeight="1">
      <x:c r="A39" s="28" t="str">
        <x:v>DAT-05</x:v>
      </x:c>
      <x:c r="B39" s="28" t="str">
        <x:v>Data migration and integrity</x:v>
      </x:c>
      <x:c r="C39" s="28" t="str">
        <x:v>P0</x:v>
      </x:c>
      <x:c r="D39" s="28" t="str">
        <x:v>Reconcile complete historical payment reference claims</x:v>
      </x:c>
      <x:c r="E39" s="28" t="str">
        <x:v>Data migration lead</x:v>
      </x:c>
      <x:c r="F39" s="28" t="str">
        <x:v>G2</x:v>
      </x:c>
      <x:c r="G39" s="28" t="str">
        <x:v>DAT-01; ARC-07</x:v>
      </x:c>
      <x:c r="H39" s="28" t="str">
        <x:v>Open</x:v>
      </x:c>
      <x:c r="I39" s="28" t="str">
        <x:v>Counts, uniqueness, provenance and source coverage across every affected club/target reconcile before candidate allocation is enabled.</x:v>
      </x:c>
      <x:c r="J39" s="28" t="str">
        <x:v>F14; F24; S06; S28; W09</x:v>
      </x:c>
      <x:c r="K39" s="30" t="str"/>
      <x:c r="L39" s="32" t="str"/>
      <x:c r="M39" s="30" t="str"/>
      <x:c r="N39" s="28" t="str">
        <x:v>https://drive.google.com/file/d/1-7B4JcFcWG3OrLUhBamPvNLURFKqU5Kl/view</x:v>
      </x:c>
      <x:c r="O39" s="28" t="str">
        <x:v>All enabled release scope; defer only by explicit product exclusion</x:v>
      </x:c>
    </x:row>
    <x:row r="40" ht="98" customHeight="1">
      <x:c r="A40" s="28" t="str">
        <x:v>DAT-06</x:v>
      </x:c>
      <x:c r="B40" s="28" t="str">
        <x:v>Data migration and integrity</x:v>
      </x:c>
      <x:c r="C40" s="28" t="str">
        <x:v>P0</x:v>
      </x:c>
      <x:c r="D40" s="28" t="str">
        <x:v>Map data types and financial balances with exception reports</x:v>
      </x:c>
      <x:c r="E40" s="28" t="str">
        <x:v>Data migration lead</x:v>
      </x:c>
      <x:c r="F40" s="28" t="str">
        <x:v>G2</x:v>
      </x:c>
      <x:c r="G40" s="28" t="str">
        <x:v>DAT-01</x:v>
      </x:c>
      <x:c r="H40" s="28" t="str">
        <x:v>Open</x:v>
      </x:c>
      <x:c r="I40" s="28" t="str">
        <x:v>IDs, amounts, timestamps, JSON, nulls and enums transformed deterministically; counts/sums/member terms/stock/tickets reconcile.</x:v>
      </x:c>
      <x:c r="J40" s="28" t="str">
        <x:v>F14; F24; S06; S28; W09</x:v>
      </x:c>
      <x:c r="K40" s="30" t="str"/>
      <x:c r="L40" s="32" t="str"/>
      <x:c r="M40" s="30" t="str"/>
      <x:c r="N40" s="28" t="str">
        <x:v>https://drive.google.com/file/d/1-7B4JcFcWG3OrLUhBamPvNLURFKqU5Kl/view</x:v>
      </x:c>
      <x:c r="O40" s="28" t="str">
        <x:v>All enabled release scope; defer only by explicit product exclusion</x:v>
      </x:c>
    </x:row>
    <x:row r="41" ht="98" customHeight="1">
      <x:c r="A41" s="28" t="str">
        <x:v>DAT-07</x:v>
      </x:c>
      <x:c r="B41" s="28" t="str">
        <x:v>Data migration and integrity</x:v>
      </x:c>
      <x:c r="C41" s="28" t="str">
        <x:v>P0</x:v>
      </x:c>
      <x:c r="D41" s="28" t="str">
        <x:v>Recover and verify the eight unresolved AFRICLUB media originals</x:v>
      </x:c>
      <x:c r="E41" s="28" t="str">
        <x:v>Data migration lead</x:v>
      </x:c>
      <x:c r="F41" s="28" t="str">
        <x:v>G2</x:v>
      </x:c>
      <x:c r="G41" s="28" t="str">
        <x:v>SEC-06; DAT-01</x:v>
      </x:c>
      <x:c r="H41" s="28" t="str">
        <x:v>Open</x:v>
      </x:c>
      <x:c r="I41" s="28" t="str">
        <x:v>Read source access status afresh; all originals or formally approved remediation evidenced by bytes, hashes and rights.</x:v>
      </x:c>
      <x:c r="J41" s="28" t="str">
        <x:v>F14; F24; S06; S28; W09</x:v>
      </x:c>
      <x:c r="K41" s="30" t="str"/>
      <x:c r="L41" s="32" t="str"/>
      <x:c r="M41" s="30" t="str"/>
      <x:c r="N41" s="28" t="str">
        <x:v>https://drive.google.com/file/d/1-7B4JcFcWG3OrLUhBamPvNLURFKqU5Kl/view</x:v>
      </x:c>
      <x:c r="O41" s="28" t="str">
        <x:v>All enabled release scope; defer only by explicit product exclusion</x:v>
      </x:c>
    </x:row>
    <x:row r="42" ht="98" customHeight="1">
      <x:c r="A42" s="28" t="str">
        <x:v>DAT-08</x:v>
      </x:c>
      <x:c r="B42" s="28" t="str">
        <x:v>Data migration and integrity</x:v>
      </x:c>
      <x:c r="C42" s="28" t="str">
        <x:v>P1</x:v>
      </x:c>
      <x:c r="D42" s="28" t="str">
        <x:v>Keep the separate Gikundiro public dataset provenance distinct</x:v>
      </x:c>
      <x:c r="E42" s="28" t="str">
        <x:v>Data migration lead</x:v>
      </x:c>
      <x:c r="F42" s="28" t="str">
        <x:v>G2</x:v>
      </x:c>
      <x:c r="G42" s="28" t="str">
        <x:v>DAT-07</x:v>
      </x:c>
      <x:c r="H42" s="28" t="str">
        <x:v>Open</x:v>
      </x:c>
      <x:c r="I42" s="28" t="str">
        <x:v>Source season, owner, rights, IDs and 11-object mapping documented; do not substitute these for missing AFRICLUB originals.</x:v>
      </x:c>
      <x:c r="J42" s="28" t="str">
        <x:v>F14; F24; S06; S28; W09</x:v>
      </x:c>
      <x:c r="K42" s="30" t="str"/>
      <x:c r="L42" s="32" t="str"/>
      <x:c r="M42" s="30" t="str"/>
      <x:c r="N42" s="28" t="str">
        <x:v>https://drive.google.com/file/d/1-7B4JcFcWG3OrLUhBamPvNLURFKqU5Kl/view</x:v>
      </x:c>
      <x:c r="O42" s="28" t="str">
        <x:v>All enabled release scope; defer only by explicit product exclusion</x:v>
      </x:c>
    </x:row>
    <x:row r="43" ht="98" customHeight="1">
      <x:c r="A43" s="28" t="str">
        <x:v>DAT-09</x:v>
      </x:c>
      <x:c r="B43" s="28" t="str">
        <x:v>Data migration and integrity</x:v>
      </x:c>
      <x:c r="C43" s="28" t="str">
        <x:v>P0</x:v>
      </x:c>
      <x:c r="D43" s="28" t="str">
        <x:v>Restore complete database and object backups in isolation</x:v>
      </x:c>
      <x:c r="E43" s="28" t="str">
        <x:v>Data migration lead</x:v>
      </x:c>
      <x:c r="F43" s="28" t="str">
        <x:v>G2</x:v>
      </x:c>
      <x:c r="G43" s="28" t="str">
        <x:v>DAT-04; DAT-05; DAT-06; DAT-07</x:v>
      </x:c>
      <x:c r="H43" s="28" t="str">
        <x:v>Open</x:v>
      </x:c>
      <x:c r="I43" s="28" t="str">
        <x:v>Fresh restore proves row/key/financial parity and executable app dependencies, with all restored jobs disabled until approved.</x:v>
      </x:c>
      <x:c r="J43" s="28" t="str">
        <x:v>F14; F24; S06; S28; W09</x:v>
      </x:c>
      <x:c r="K43" s="30" t="str"/>
      <x:c r="L43" s="32" t="str"/>
      <x:c r="M43" s="30" t="str"/>
      <x:c r="N43" s="28" t="str">
        <x:v>https://drive.google.com/file/d/1-7B4JcFcWG3OrLUhBamPvNLURFKqU5Kl/view</x:v>
      </x:c>
      <x:c r="O43" s="28" t="str">
        <x:v>All enabled release scope; defer only by explicit product exclusion</x:v>
      </x:c>
    </x:row>
    <x:row r="44" ht="98" customHeight="1">
      <x:c r="A44" s="28" t="str">
        <x:v>DAT-10</x:v>
      </x:c>
      <x:c r="B44" s="28" t="str">
        <x:v>Data migration and integrity</x:v>
      </x:c>
      <x:c r="C44" s="28" t="str">
        <x:v>P1</x:v>
      </x:c>
      <x:c r="D44" s="28" t="str">
        <x:v>Implement repeatable migration reconciliation and delta checks</x:v>
      </x:c>
      <x:c r="E44" s="28" t="str">
        <x:v>Data migration lead</x:v>
      </x:c>
      <x:c r="F44" s="28" t="str">
        <x:v>G2</x:v>
      </x:c>
      <x:c r="G44" s="28" t="str">
        <x:v>DAT-09</x:v>
      </x:c>
      <x:c r="H44" s="28" t="str">
        <x:v>Open</x:v>
      </x:c>
      <x:c r="I44" s="28" t="str">
        <x:v>Machine-readable pre/post evidence reports no unexplained drift; rejected rows and policy differences receive approved disposition.</x:v>
      </x:c>
      <x:c r="J44" s="28" t="str">
        <x:v>F14; F24; S06; S28; W09</x:v>
      </x:c>
      <x:c r="K44" s="30" t="str"/>
      <x:c r="L44" s="32" t="str"/>
      <x:c r="M44" s="30" t="str"/>
      <x:c r="N44" s="28" t="str">
        <x:v>https://drive.google.com/file/d/1-7B4JcFcWG3OrLUhBamPvNLURFKqU5Kl/view</x:v>
      </x:c>
      <x:c r="O44" s="28" t="str">
        <x:v>All enabled release scope; defer only by explicit product exclusion</x:v>
      </x:c>
    </x:row>
    <x:row r="45" ht="98" customHeight="1">
      <x:c r="A45" s="28" t="str">
        <x:v>AUT-01</x:v>
      </x:c>
      <x:c r="B45" s="28" t="str">
        <x:v>Identity and authorization</x:v>
      </x:c>
      <x:c r="C45" s="28" t="str">
        <x:v>P0</x:v>
      </x:c>
      <x:c r="D45" s="28" t="str">
        <x:v>Threat-model identity and tenant trust boundaries</x:v>
      </x:c>
      <x:c r="E45" s="28" t="str">
        <x:v>Identity lead</x:v>
      </x:c>
      <x:c r="F45" s="28" t="str">
        <x:v>G2</x:v>
      </x:c>
      <x:c r="G45" s="28" t="str">
        <x:v>REP-01</x:v>
      </x:c>
      <x:c r="H45" s="28" t="str">
        <x:v>Open</x:v>
      </x:c>
      <x:c r="I45" s="28" t="str">
        <x:v>Document access/refresh/OTP flows, trusted issuer, key lifecycle, abuse paths and user/staff separation; review independently.</x:v>
      </x:c>
      <x:c r="J45" s="28" t="str">
        <x:v>F09; F10; F11; S10; S11; W11; W12</x:v>
      </x:c>
      <x:c r="K45" s="30" t="str"/>
      <x:c r="L45" s="32" t="str"/>
      <x:c r="M45" s="30" t="str"/>
      <x:c r="N45" s="28" t="str">
        <x:v>https://drive.google.com/file/d/1nZBkMaq85TVbCtagt109zHTRYm3Q1K7Y/view</x:v>
      </x:c>
      <x:c r="O45" s="28" t="str">
        <x:v>All enabled release scope; defer only by explicit product exclusion</x:v>
      </x:c>
    </x:row>
    <x:row r="46" ht="98" customHeight="1">
      <x:c r="A46" s="28" t="str">
        <x:v>AUT-02</x:v>
      </x:c>
      <x:c r="B46" s="28" t="str">
        <x:v>Identity and authorization</x:v>
      </x:c>
      <x:c r="C46" s="28" t="str">
        <x:v>P1</x:v>
      </x:c>
      <x:c r="D46" s="28" t="str">
        <x:v>Replace pilot OTP limits with fair measured controls</x:v>
      </x:c>
      <x:c r="E46" s="28" t="str">
        <x:v>Identity lead</x:v>
      </x:c>
      <x:c r="F46" s="28" t="str">
        <x:v>G2</x:v>
      </x:c>
      <x:c r="G46" s="28" t="str">
        <x:v>AUT-01; OPS-01</x:v>
      </x:c>
      <x:c r="H46" s="28" t="str">
        <x:v>Open</x:v>
      </x:c>
      <x:c r="I46" s="28" t="str">
        <x:v>Per-club, per-subject/phone, IP and global cost budgets tested; one club cannot silently exhaust unrelated sign-ins.</x:v>
      </x:c>
      <x:c r="J46" s="28" t="str">
        <x:v>F09; F10; F11; S10; S11; W11; W12</x:v>
      </x:c>
      <x:c r="K46" s="30" t="str"/>
      <x:c r="L46" s="32" t="str"/>
      <x:c r="M46" s="30" t="str"/>
      <x:c r="N46" s="28" t="str">
        <x:v>https://drive.google.com/file/d/1nZBkMaq85TVbCtagt109zHTRYm3Q1K7Y/view</x:v>
      </x:c>
      <x:c r="O46" s="28" t="str">
        <x:v>All enabled release scope; defer only by explicit product exclusion</x:v>
      </x:c>
    </x:row>
    <x:row r="47" ht="98" customHeight="1">
      <x:c r="A47" s="28" t="str">
        <x:v>AUT-03</x:v>
      </x:c>
      <x:c r="B47" s="28" t="str">
        <x:v>Identity and authorization</x:v>
      </x:c>
      <x:c r="C47" s="28" t="str">
        <x:v>P1</x:v>
      </x:c>
      <x:c r="D47" s="28" t="str">
        <x:v>Complete lost-phone, phone-change and account-linking flows</x:v>
      </x:c>
      <x:c r="E47" s="28" t="str">
        <x:v>Identity lead</x:v>
      </x:c>
      <x:c r="F47" s="28" t="str">
        <x:v>G2</x:v>
      </x:c>
      <x:c r="G47" s="28" t="str">
        <x:v>AUT-01</x:v>
      </x:c>
      <x:c r="H47" s="28" t="str">
        <x:v>Open</x:v>
      </x:c>
      <x:c r="I47" s="28" t="str">
        <x:v>Proof-of-control, recovery escalation, reassignment risks and identity continuity tested; no name/suffix-based account merging.</x:v>
      </x:c>
      <x:c r="J47" s="28" t="str">
        <x:v>F09; F10; F11; S10; S11; W11; W12</x:v>
      </x:c>
      <x:c r="K47" s="30" t="str"/>
      <x:c r="L47" s="32" t="str"/>
      <x:c r="M47" s="30" t="str"/>
      <x:c r="N47" s="28" t="str">
        <x:v>https://drive.google.com/file/d/1nZBkMaq85TVbCtagt109zHTRYm3Q1K7Y/view</x:v>
      </x:c>
      <x:c r="O47" s="28" t="str">
        <x:v>All enabled release scope; defer only by explicit product exclusion</x:v>
      </x:c>
    </x:row>
    <x:row r="48" ht="98" customHeight="1">
      <x:c r="A48" s="28" t="str">
        <x:v>AUT-04</x:v>
      </x:c>
      <x:c r="B48" s="28" t="str">
        <x:v>Identity and authorization</x:v>
      </x:c>
      <x:c r="C48" s="28" t="str">
        <x:v>P1</x:v>
      </x:c>
      <x:c r="D48" s="28" t="str">
        <x:v>Complete protected native credential storage and refresh coordination</x:v>
      </x:c>
      <x:c r="E48" s="28" t="str">
        <x:v>Identity lead</x:v>
      </x:c>
      <x:c r="F48" s="28" t="str">
        <x:v>G2</x:v>
      </x:c>
      <x:c r="G48" s="28" t="str">
        <x:v>AUT-01; MOB-01; MOB-02</x:v>
      </x:c>
      <x:c r="H48" s="28" t="str">
        <x:v>Open</x:v>
      </x:c>
      <x:c r="I48" s="28" t="str">
        <x:v>Keystore/Keychain-backed credentials, single-flight rotation and original retry keys survive crash; no plain-preference fallback.</x:v>
      </x:c>
      <x:c r="J48" s="28" t="str">
        <x:v>F09; F10; F11; S10; S11; W11; W12</x:v>
      </x:c>
      <x:c r="K48" s="30" t="str"/>
      <x:c r="L48" s="32" t="str"/>
      <x:c r="M48" s="30" t="str"/>
      <x:c r="N48" s="28" t="str">
        <x:v>https://drive.google.com/file/d/1nZBkMaq85TVbCtagt109zHTRYm3Q1K7Y/view</x:v>
      </x:c>
      <x:c r="O48" s="28" t="str">
        <x:v>All enabled release scope; defer only by explicit product exclusion</x:v>
      </x:c>
    </x:row>
    <x:row r="49" ht="98" customHeight="1">
      <x:c r="A49" s="28" t="str">
        <x:v>AUT-05</x:v>
      </x:c>
      <x:c r="B49" s="28" t="str">
        <x:v>Identity and authorization</x:v>
      </x:c>
      <x:c r="C49" s="28" t="str">
        <x:v>P1</x:v>
      </x:c>
      <x:c r="D49" s="28" t="str">
        <x:v>Implement browser authentication and CSRF contract</x:v>
      </x:c>
      <x:c r="E49" s="28" t="str">
        <x:v>Identity lead</x:v>
      </x:c>
      <x:c r="F49" s="28" t="str">
        <x:v>G2</x:v>
      </x:c>
      <x:c r="G49" s="28" t="str">
        <x:v>AUT-01; WEB-03</x:v>
      </x:c>
      <x:c r="H49" s="28" t="str">
        <x:v>Open</x:v>
      </x:c>
      <x:c r="I49" s="28" t="str">
        <x:v>HttpOnly/Secure cookies, session rotation, logout, CSRF and origin checks validated against the intended browser portal.</x:v>
      </x:c>
      <x:c r="J49" s="28" t="str">
        <x:v>F09; F10; F11; S10; S11; W11; W12</x:v>
      </x:c>
      <x:c r="K49" s="30" t="str"/>
      <x:c r="L49" s="32" t="str"/>
      <x:c r="M49" s="30" t="str"/>
      <x:c r="N49" s="28" t="str">
        <x:v>https://drive.google.com/file/d/1nZBkMaq85TVbCtagt109zHTRYm3Q1K7Y/view</x:v>
      </x:c>
      <x:c r="O49" s="28" t="str">
        <x:v>All enabled release scope; defer only by explicit product exclusion</x:v>
      </x:c>
    </x:row>
    <x:row r="50" ht="98" customHeight="1">
      <x:c r="A50" s="28" t="str">
        <x:v>AUT-06</x:v>
      </x:c>
      <x:c r="B50" s="28" t="str">
        <x:v>Identity and authorization</x:v>
      </x:c>
      <x:c r="C50" s="28" t="str">
        <x:v>P0</x:v>
      </x:c>
      <x:c r="D50" s="28" t="str">
        <x:v>Enforce tested revocation/fencing for sensitive domain commands</x:v>
      </x:c>
      <x:c r="E50" s="28" t="str">
        <x:v>Identity lead</x:v>
      </x:c>
      <x:c r="F50" s="28" t="str">
        <x:v>G2</x:v>
      </x:c>
      <x:c r="G50" s="28" t="str">
        <x:v>ARC-03</x:v>
      </x:c>
      <x:c r="H50" s="28" t="str">
        <x:v>Open</x:v>
      </x:c>
      <x:c r="I50" s="28" t="str">
        <x:v>Revoked/stale epochs cannot authorize new protected mutations beyond the approved boundary; response loss remains recoverable.</x:v>
      </x:c>
      <x:c r="J50" s="28" t="str">
        <x:v>F09; F10; F11; S10; S11; W11; W12</x:v>
      </x:c>
      <x:c r="K50" s="30" t="str"/>
      <x:c r="L50" s="32" t="str"/>
      <x:c r="M50" s="30" t="str"/>
      <x:c r="N50" s="28" t="str">
        <x:v>https://drive.google.com/file/d/1nZBkMaq85TVbCtagt109zHTRYm3Q1K7Y/view</x:v>
      </x:c>
      <x:c r="O50" s="28" t="str">
        <x:v>All enabled release scope; defer only by explicit product exclusion</x:v>
      </x:c>
    </x:row>
    <x:row r="51" ht="98" customHeight="1">
      <x:c r="A51" s="28" t="str">
        <x:v>AUT-07</x:v>
      </x:c>
      <x:c r="B51" s="28" t="str">
        <x:v>Identity and authorization</x:v>
      </x:c>
      <x:c r="C51" s="28" t="str">
        <x:v>P1</x:v>
      </x:c>
      <x:c r="D51" s="28" t="str">
        <x:v>Implement complete account erasure orchestration</x:v>
      </x:c>
      <x:c r="E51" s="28" t="str">
        <x:v>Identity lead</x:v>
      </x:c>
      <x:c r="F51" s="28" t="str">
        <x:v>G2</x:v>
      </x:c>
      <x:c r="G51" s="28" t="str">
        <x:v>REG-02; OPS-04</x:v>
      </x:c>
      <x:c r="H51" s="28" t="str">
        <x:v>Open</x:v>
      </x:c>
      <x:c r="I51" s="28" t="str">
        <x:v>Processor acknowledgements, retained legal records, deletion status, backups policy and failed-job recovery recorded without false completion.</x:v>
      </x:c>
      <x:c r="J51" s="28" t="str">
        <x:v>F09; F10; F11; S10; S11; W11; W12</x:v>
      </x:c>
      <x:c r="K51" s="30" t="str"/>
      <x:c r="L51" s="32" t="str"/>
      <x:c r="M51" s="30" t="str"/>
      <x:c r="N51" s="28" t="str">
        <x:v>https://drive.google.com/file/d/1nZBkMaq85TVbCtagt109zHTRYm3Q1K7Y/view</x:v>
      </x:c>
      <x:c r="O51" s="28" t="str">
        <x:v>All enabled release scope; defer only by explicit product exclusion</x:v>
      </x:c>
    </x:row>
    <x:row r="52" ht="98" customHeight="1">
      <x:c r="A52" s="28" t="str">
        <x:v>AUT-08</x:v>
      </x:c>
      <x:c r="B52" s="28" t="str">
        <x:v>Identity and authorization</x:v>
      </x:c>
      <x:c r="C52" s="28" t="str">
        <x:v>P1</x:v>
      </x:c>
      <x:c r="D52" s="28" t="str">
        <x:v>Reconcile existing identity and profile bootstrap</x:v>
      </x:c>
      <x:c r="E52" s="28" t="str">
        <x:v>Identity lead</x:v>
      </x:c>
      <x:c r="F52" s="28" t="str">
        <x:v>G2</x:v>
      </x:c>
      <x:c r="G52" s="28" t="str">
        <x:v>DAT-06</x:v>
      </x:c>
      <x:c r="H52" s="28" t="str">
        <x:v>Open</x:v>
      </x:c>
      <x:c r="I52" s="28" t="str">
        <x:v>Original UUIDs, phone binding, club mappings and profiles preserved; signup does not grant paid or staff entitlements.</x:v>
      </x:c>
      <x:c r="J52" s="28" t="str">
        <x:v>F09; F10; F11; S10; S11; W11; W12</x:v>
      </x:c>
      <x:c r="K52" s="30" t="str"/>
      <x:c r="L52" s="32" t="str"/>
      <x:c r="M52" s="30" t="str"/>
      <x:c r="N52" s="28" t="str">
        <x:v>https://drive.google.com/file/d/1nZBkMaq85TVbCtagt109zHTRYm3Q1K7Y/view</x:v>
      </x:c>
      <x:c r="O52" s="28" t="str">
        <x:v>All enabled release scope; defer only by explicit product exclusion</x:v>
      </x:c>
    </x:row>
    <x:row r="53" ht="98" customHeight="1">
      <x:c r="A53" s="28" t="str">
        <x:v>AUT-09</x:v>
      </x:c>
      <x:c r="B53" s="28" t="str">
        <x:v>Identity and authorization</x:v>
      </x:c>
      <x:c r="C53" s="28" t="str">
        <x:v>P1</x:v>
      </x:c>
      <x:c r="D53" s="28" t="str">
        <x:v>Implement custom-auth key rotation and incident recovery</x:v>
      </x:c>
      <x:c r="E53" s="28" t="str">
        <x:v>Identity lead</x:v>
      </x:c>
      <x:c r="F53" s="28" t="str">
        <x:v>G2</x:v>
      </x:c>
      <x:c r="G53" s="28" t="str">
        <x:v>AUT-01; SEC-04</x:v>
      </x:c>
      <x:c r="H53" s="28" t="str">
        <x:v>Open</x:v>
      </x:c>
      <x:c r="I53" s="28" t="str">
        <x:v>Old/new versions coexist for controlled window; revocation, ciphertext recovery and key-loss runbooks proven with test keys.</x:v>
      </x:c>
      <x:c r="J53" s="28" t="str">
        <x:v>F09; F10; F11; S10; S11; W11; W12</x:v>
      </x:c>
      <x:c r="K53" s="30" t="str"/>
      <x:c r="L53" s="32" t="str"/>
      <x:c r="M53" s="30" t="str"/>
      <x:c r="N53" s="28" t="str">
        <x:v>https://drive.google.com/file/d/1nZBkMaq85TVbCtagt109zHTRYm3Q1K7Y/view</x:v>
      </x:c>
      <x:c r="O53" s="28" t="str">
        <x:v>All enabled release scope; defer only by explicit product exclusion</x:v>
      </x:c>
    </x:row>
    <x:row r="54" ht="98" customHeight="1">
      <x:c r="A54" s="28" t="str">
        <x:v>AUT-10</x:v>
      </x:c>
      <x:c r="B54" s="28" t="str">
        <x:v>Identity and authorization</x:v>
      </x:c>
      <x:c r="C54" s="28" t="str">
        <x:v>P1</x:v>
      </x:c>
      <x:c r="D54" s="28" t="str">
        <x:v>Run live isolated identity/provider acceptance</x:v>
      </x:c>
      <x:c r="E54" s="28" t="str">
        <x:v>Identity lead</x:v>
      </x:c>
      <x:c r="F54" s="28" t="str">
        <x:v>G2</x:v>
      </x:c>
      <x:c r="G54" s="28" t="str">
        <x:v>AUT-02; AUT-03; AUT-04; DAT-03</x:v>
      </x:c>
      <x:c r="H54" s="28" t="str">
        <x:v>Open</x:v>
      </x:c>
      <x:c r="I54" s="28" t="str">
        <x:v>Real approved test phone/WhatsApp template, code expiry, duplicate status, blocked user and session restore succeed without production imports.</x:v>
      </x:c>
      <x:c r="J54" s="28" t="str">
        <x:v>F09; F10; F11; S10; S11; W11; W12</x:v>
      </x:c>
      <x:c r="K54" s="30" t="str"/>
      <x:c r="L54" s="32" t="str"/>
      <x:c r="M54" s="30" t="str"/>
      <x:c r="N54" s="28" t="str">
        <x:v>https://drive.google.com/file/d/1nZBkMaq85TVbCtagt109zHTRYm3Q1K7Y/view</x:v>
      </x:c>
      <x:c r="O54" s="28" t="str">
        <x:v>All enabled release scope; defer only by explicit product exclusion</x:v>
      </x:c>
    </x:row>
    <x:row r="55" ht="98" customHeight="1">
      <x:c r="A55" s="28" t="str">
        <x:v>PAY-01</x:v>
      </x:c>
      <x:c r="B55" s="28" t="str">
        <x:v>Payments and fulfillment</x:v>
      </x:c>
      <x:c r="C55" s="28" t="str">
        <x:v>P0</x:v>
      </x:c>
      <x:c r="D55" s="28" t="str">
        <x:v>Integrate authenticated payment evidence and account reconciliation</x:v>
      </x:c>
      <x:c r="E55" s="28" t="str">
        <x:v>Payments lead</x:v>
      </x:c>
      <x:c r="F55" s="28" t="str">
        <x:v>G3</x:v>
      </x:c>
      <x:c r="G55" s="28" t="str">
        <x:v>DAT-05; DAT-06; ARC-07</x:v>
      </x:c>
      <x:c r="H55" s="28" t="str">
        <x:v>Open</x:v>
      </x:c>
      <x:c r="I55" s="28" t="str">
        <x:v>Verified ingress identifies exact receiver/provider/transaction; three-way evidence/order/receiving-account match with no manual fabricated attestation.</x:v>
      </x:c>
      <x:c r="J55" s="28" t="str">
        <x:v>F12; F13; F14; F18; S13; W07</x:v>
      </x:c>
      <x:c r="K55" s="30" t="str"/>
      <x:c r="L55" s="32" t="str"/>
      <x:c r="M55" s="30" t="str"/>
      <x:c r="N55" s="28" t="str">
        <x:v>https://drive.google.com/file/d/11c2iijJkMgVqUIhC9JivYi8vxb5prAsr/view</x:v>
      </x:c>
      <x:c r="O55" s="28" t="str">
        <x:v>All enabled release scope; defer only by explicit product exclusion</x:v>
      </x:c>
    </x:row>
    <x:row r="56" ht="98" customHeight="1">
      <x:c r="A56" s="28" t="str">
        <x:v>PAY-02</x:v>
      </x:c>
      <x:c r="B56" s="28" t="str">
        <x:v>Payments and fulfillment</x:v>
      </x:c>
      <x:c r="C56" s="28" t="str">
        <x:v>P0</x:v>
      </x:c>
      <x:c r="D56" s="28" t="str">
        <x:v>Implement late, partial, duplicate and ambiguous payment exceptions</x:v>
      </x:c>
      <x:c r="E56" s="28" t="str">
        <x:v>Payments lead</x:v>
      </x:c>
      <x:c r="F56" s="28" t="str">
        <x:v>G3</x:v>
      </x:c>
      <x:c r="G56" s="28" t="str">
        <x:v>PAY-01; MOB-06</x:v>
      </x:c>
      <x:c r="H56" s="28" t="str">
        <x:v>Open</x:v>
      </x:c>
      <x:c r="I56" s="28" t="str">
        <x:v>Expired/cancelled/overpaid/wrong-amount payments enter governed queues; resolution preserves original references and audit, not forced reuse.</x:v>
      </x:c>
      <x:c r="J56" s="28" t="str">
        <x:v>F12; F13; F14; F18; S13; W07</x:v>
      </x:c>
      <x:c r="K56" s="30" t="str"/>
      <x:c r="L56" s="32" t="str"/>
      <x:c r="M56" s="30" t="str"/>
      <x:c r="N56" s="28" t="str">
        <x:v>https://drive.google.com/file/d/11c2iijJkMgVqUIhC9JivYi8vxb5prAsr/view</x:v>
      </x:c>
      <x:c r="O56" s="28" t="str">
        <x:v>All enabled release scope; defer only by explicit product exclusion</x:v>
      </x:c>
    </x:row>
    <x:row r="57" ht="98" customHeight="1">
      <x:c r="A57" s="28" t="str">
        <x:v>PAY-03</x:v>
      </x:c>
      <x:c r="B57" s="28" t="str">
        <x:v>Payments and fulfillment</x:v>
      </x:c>
      <x:c r="C57" s="28" t="str">
        <x:v>P0</x:v>
      </x:c>
      <x:c r="D57" s="28" t="str">
        <x:v>Implement refunds, reversals and administrative corrections</x:v>
      </x:c>
      <x:c r="E57" s="28" t="str">
        <x:v>Payments lead</x:v>
      </x:c>
      <x:c r="F57" s="28" t="str">
        <x:v>G3</x:v>
      </x:c>
      <x:c r="G57" s="28" t="str">
        <x:v>PAY-01; SEC-09</x:v>
      </x:c>
      <x:c r="H57" s="28" t="str">
        <x:v>Open</x:v>
      </x:c>
      <x:c r="I57" s="28" t="str">
        <x:v>Compensating records preserve original financial history; duplicate refunds prevented; approvals and external status reconciled.</x:v>
      </x:c>
      <x:c r="J57" s="28" t="str">
        <x:v>F12; F13; F14; F18; S13; W07</x:v>
      </x:c>
      <x:c r="K57" s="30" t="str"/>
      <x:c r="L57" s="32" t="str"/>
      <x:c r="M57" s="30" t="str"/>
      <x:c r="N57" s="28" t="str">
        <x:v>https://drive.google.com/file/d/11c2iijJkMgVqUIhC9JivYi8vxb5prAsr/view</x:v>
      </x:c>
      <x:c r="O57" s="28" t="str">
        <x:v>All enabled release scope; defer only by explicit product exclusion</x:v>
      </x:c>
    </x:row>
    <x:row r="58" ht="98" customHeight="1">
      <x:c r="A58" s="28" t="str">
        <x:v>PAY-04</x:v>
      </x:c>
      <x:c r="B58" s="28" t="str">
        <x:v>Payments and fulfillment</x:v>
      </x:c>
      <x:c r="C58" s="28" t="str">
        <x:v>P1</x:v>
      </x:c>
      <x:c r="D58" s="28" t="str">
        <x:v>Complete current membership entitlement and receipt separation</x:v>
      </x:c>
      <x:c r="E58" s="28" t="str">
        <x:v>Payments lead</x:v>
      </x:c>
      <x:c r="F58" s="28" t="str">
        <x:v>G3</x:v>
      </x:c>
      <x:c r="G58" s="28" t="str">
        <x:v>PAY-01; AUT-06</x:v>
      </x:c>
      <x:c r="H58" s="28" t="str">
        <x:v>Open</x:v>
      </x:c>
      <x:c r="I58" s="28" t="str">
        <x:v>Current status/expiry/suspension read distinct from historical receipt; renewal preserves member ID and does not lift suspension.</x:v>
      </x:c>
      <x:c r="J58" s="28" t="str">
        <x:v>F12; F13; F14; F18; S13; W07</x:v>
      </x:c>
      <x:c r="K58" s="30" t="str"/>
      <x:c r="L58" s="32" t="str"/>
      <x:c r="M58" s="30" t="str"/>
      <x:c r="N58" s="28" t="str">
        <x:v>https://drive.google.com/file/d/11c2iijJkMgVqUIhC9JivYi8vxb5prAsr/view</x:v>
      </x:c>
      <x:c r="O58" s="28" t="str">
        <x:v>All enabled release scope; defer only by explicit product exclusion</x:v>
      </x:c>
    </x:row>
    <x:row r="59" ht="98" customHeight="1">
      <x:c r="A59" s="28" t="str">
        <x:v>PAY-05</x:v>
      </x:c>
      <x:c r="B59" s="28" t="str">
        <x:v>Payments and fulfillment</x:v>
      </x:c>
      <x:c r="C59" s="28" t="str">
        <x:v>P1</x:v>
      </x:c>
      <x:c r="D59" s="28" t="str">
        <x:v>Complete initiative contributions including totals/rewards/referrals</x:v>
      </x:c>
      <x:c r="E59" s="28" t="str">
        <x:v>Payments lead</x:v>
      </x:c>
      <x:c r="F59" s="28" t="str">
        <x:v>G3</x:v>
      </x:c>
      <x:c r="G59" s="28" t="str">
        <x:v>PAY-01; PRD-01</x:v>
      </x:c>
      <x:c r="H59" s="28" t="str">
        <x:v>Open</x:v>
      </x:c>
      <x:c r="I59" s="28" t="str">
        <x:v>All approved effects commit or recover together; allocation-only records never shown as confirmed contributions.</x:v>
      </x:c>
      <x:c r="J59" s="28" t="str">
        <x:v>F12; F13; F14; F18; S13; W07</x:v>
      </x:c>
      <x:c r="K59" s="30" t="str"/>
      <x:c r="L59" s="32" t="str"/>
      <x:c r="M59" s="30" t="str"/>
      <x:c r="N59" s="28" t="str">
        <x:v>https://drive.google.com/file/d/11c2iijJkMgVqUIhC9JivYi8vxb5prAsr/view</x:v>
      </x:c>
      <x:c r="O59" s="28" t="str">
        <x:v>All enabled release scope; defer only by explicit product exclusion</x:v>
      </x:c>
    </x:row>
    <x:row r="60" ht="98" customHeight="1">
      <x:c r="A60" s="28" t="str">
        <x:v>PAY-06</x:v>
      </x:c>
      <x:c r="B60" s="28" t="str">
        <x:v>Payments and fulfillment</x:v>
      </x:c>
      <x:c r="C60" s="28" t="str">
        <x:v>P1</x:v>
      </x:c>
      <x:c r="D60" s="28" t="str">
        <x:v>Complete supporter-group contributions and statements</x:v>
      </x:c>
      <x:c r="E60" s="28" t="str">
        <x:v>Payments lead</x:v>
      </x:c>
      <x:c r="F60" s="28" t="str">
        <x:v>G3</x:v>
      </x:c>
      <x:c r="G60" s="28" t="str">
        <x:v>PAY-01; DAT-06</x:v>
      </x:c>
      <x:c r="H60" s="28" t="str">
        <x:v>Open</x:v>
      </x:c>
      <x:c r="I60" s="28" t="str">
        <x:v>Group/member ownership, allocation, balances, exports and correction rules reconcile with preserved source behavior.</x:v>
      </x:c>
      <x:c r="J60" s="28" t="str">
        <x:v>F12; F13; F14; F18; S13; W07</x:v>
      </x:c>
      <x:c r="K60" s="30" t="str"/>
      <x:c r="L60" s="32" t="str"/>
      <x:c r="M60" s="30" t="str"/>
      <x:c r="N60" s="28" t="str">
        <x:v>https://drive.google.com/file/d/11c2iijJkMgVqUIhC9JivYi8vxb5prAsr/view</x:v>
      </x:c>
      <x:c r="O60" s="28" t="str">
        <x:v>All enabled release scope; defer only by explicit product exclusion</x:v>
      </x:c>
    </x:row>
    <x:row r="61" ht="98" customHeight="1">
      <x:c r="A61" s="28" t="str">
        <x:v>PAY-07</x:v>
      </x:c>
      <x:c r="B61" s="28" t="str">
        <x:v>Payments and fulfillment</x:v>
      </x:c>
      <x:c r="C61" s="28" t="str">
        <x:v>P1</x:v>
      </x:c>
      <x:c r="D61" s="28" t="str">
        <x:v>Complete ticket inventory, issuance, transfer and redemption</x:v>
      </x:c>
      <x:c r="E61" s="28" t="str">
        <x:v>Payments lead</x:v>
      </x:c>
      <x:c r="F61" s="28" t="str">
        <x:v>G3</x:v>
      </x:c>
      <x:c r="G61" s="28" t="str">
        <x:v>PAY-01; PAY-03; ARC-02</x:v>
      </x:c>
      <x:c r="H61" s="28" t="str">
        <x:v>Open</x:v>
      </x:c>
      <x:c r="I61" s="28" t="str">
        <x:v>Concurrent last-seat purchase, duplicate scans, cancellations and refunds tested; offline validation policy prevents silent double entry.</x:v>
      </x:c>
      <x:c r="J61" s="28" t="str">
        <x:v>F12; F13; F14; F18; S13; W07</x:v>
      </x:c>
      <x:c r="K61" s="30" t="str"/>
      <x:c r="L61" s="32" t="str"/>
      <x:c r="M61" s="30" t="str"/>
      <x:c r="N61" s="28" t="str">
        <x:v>https://drive.google.com/file/d/11c2iijJkMgVqUIhC9JivYi8vxb5prAsr/view</x:v>
      </x:c>
      <x:c r="O61" s="28" t="str">
        <x:v>All enabled release scope; defer only by explicit product exclusion</x:v>
      </x:c>
    </x:row>
    <x:row r="62" ht="98" customHeight="1">
      <x:c r="A62" s="28" t="str">
        <x:v>PAY-08</x:v>
      </x:c>
      <x:c r="B62" s="28" t="str">
        <x:v>Payments and fulfillment</x:v>
      </x:c>
      <x:c r="C62" s="28" t="str">
        <x:v>P1</x:v>
      </x:c>
      <x:c r="D62" s="28" t="str">
        <x:v>Complete shop inventory, ordering and fulfillment</x:v>
      </x:c>
      <x:c r="E62" s="28" t="str">
        <x:v>Payments lead</x:v>
      </x:c>
      <x:c r="F62" s="28" t="str">
        <x:v>G3</x:v>
      </x:c>
      <x:c r="G62" s="28" t="str">
        <x:v>PAY-01; PAY-03</x:v>
      </x:c>
      <x:c r="H62" s="28" t="str">
        <x:v>Open</x:v>
      </x:c>
      <x:c r="I62" s="28" t="str">
        <x:v>Stock reservations, shipping/service terms, cancellation/refund, receipts and idempotent fulfillment reconcile end to end.</x:v>
      </x:c>
      <x:c r="J62" s="28" t="str">
        <x:v>F12; F13; F14; F18; S13; W07</x:v>
      </x:c>
      <x:c r="K62" s="30" t="str"/>
      <x:c r="L62" s="32" t="str"/>
      <x:c r="M62" s="30" t="str"/>
      <x:c r="N62" s="28" t="str">
        <x:v>https://drive.google.com/file/d/11c2iijJkMgVqUIhC9JivYi8vxb5prAsr/view</x:v>
      </x:c>
      <x:c r="O62" s="28" t="str">
        <x:v>All enabled release scope; defer only by explicit product exclusion</x:v>
      </x:c>
    </x:row>
    <x:row r="63" ht="98" customHeight="1">
      <x:c r="A63" s="28" t="str">
        <x:v>PAY-09</x:v>
      </x:c>
      <x:c r="B63" s="28" t="str">
        <x:v>Payments and fulfillment</x:v>
      </x:c>
      <x:c r="C63" s="28" t="str">
        <x:v>P1</x:v>
      </x:c>
      <x:c r="D63" s="28" t="str">
        <x:v>Implement idempotent outbox consumers and dead-letter handling</x:v>
      </x:c>
      <x:c r="E63" s="28" t="str">
        <x:v>Payments lead</x:v>
      </x:c>
      <x:c r="F63" s="28" t="str">
        <x:v>G3</x:v>
      </x:c>
      <x:c r="G63" s="28" t="str">
        <x:v>PAY-01; OPS-04</x:v>
      </x:c>
      <x:c r="H63" s="28" t="str">
        <x:v>Open</x:v>
      </x:c>
      <x:c r="I63" s="28" t="str">
        <x:v>Effect deduplication is atomic with downstream state; retry, acknowledgement loss, poison events and manual re-drive tested.</x:v>
      </x:c>
      <x:c r="J63" s="28" t="str">
        <x:v>F12; F13; F14; F18; S13; W07</x:v>
      </x:c>
      <x:c r="K63" s="30" t="str"/>
      <x:c r="L63" s="32" t="str"/>
      <x:c r="M63" s="30" t="str"/>
      <x:c r="N63" s="28" t="str">
        <x:v>https://drive.google.com/file/d/11c2iijJkMgVqUIhC9JivYi8vxb5prAsr/view</x:v>
      </x:c>
      <x:c r="O63" s="28" t="str">
        <x:v>All enabled release scope; defer only by explicit product exclusion</x:v>
      </x:c>
    </x:row>
    <x:row r="64" ht="98" customHeight="1">
      <x:c r="A64" s="28" t="str">
        <x:v>PAY-10</x:v>
      </x:c>
      <x:c r="B64" s="28" t="str">
        <x:v>Payments and fulfillment</x:v>
      </x:c>
      <x:c r="C64" s="28" t="str">
        <x:v>P0</x:v>
      </x:c>
      <x:c r="D64" s="28" t="str">
        <x:v>Prove end-to-end financial conservation and cutover parity</x:v>
      </x:c>
      <x:c r="E64" s="28" t="str">
        <x:v>Payments lead</x:v>
      </x:c>
      <x:c r="F64" s="28" t="str">
        <x:v>G3</x:v>
      </x:c>
      <x:c r="G64" s="28" t="str">
        <x:v>PAY-02; PAY-03; PAY-04; PAY-09; DAT-10</x:v>
      </x:c>
      <x:c r="H64" s="28" t="str">
        <x:v>Open</x:v>
      </x:c>
      <x:c r="I64" s="28" t="str">
        <x:v>Duplicate callbacks and concurrency cannot duplicate membership/stock/debits; aggregate balances/claims and source cutoffs reconcile.</x:v>
      </x:c>
      <x:c r="J64" s="28" t="str">
        <x:v>F12; F13; F14; F18; S13; W07</x:v>
      </x:c>
      <x:c r="K64" s="30" t="str"/>
      <x:c r="L64" s="32" t="str"/>
      <x:c r="M64" s="30" t="str"/>
      <x:c r="N64" s="28" t="str">
        <x:v>https://drive.google.com/file/d/11c2iijJkMgVqUIhC9JivYi8vxb5prAsr/view</x:v>
      </x:c>
      <x:c r="O64" s="28" t="str">
        <x:v>All enabled release scope; defer only by explicit product exclusion</x:v>
      </x:c>
    </x:row>
    <x:row r="65" ht="98" customHeight="1">
      <x:c r="A65" s="28" t="str">
        <x:v>MOB-01</x:v>
      </x:c>
      <x:c r="B65" s="28" t="str">
        <x:v>Native app completion</x:v>
      </x:c>
      <x:c r="C65" s="28" t="str">
        <x:v>P1</x:v>
      </x:c>
      <x:c r="D65" s="28" t="str">
        <x:v>Compile and test actual Android recovery host</x:v>
      </x:c>
      <x:c r="E65" s="28" t="str">
        <x:v>Mobile lead</x:v>
      </x:c>
      <x:c r="F65" s="28" t="str">
        <x:v>G3</x:v>
      </x:c>
      <x:c r="G65" s="28" t="str">
        <x:v>REP-09</x:v>
      </x:c>
      <x:c r="H65" s="28" t="str">
        <x:v>Open</x:v>
      </x:c>
      <x:c r="I65" s="28" t="str">
        <x:v>Repository-pinned Kotlin/AGP/SDK compile host and bridge; emulator/device tests prove Keystore, locked-device and engine-disposal behavior.</x:v>
      </x:c>
      <x:c r="J65" s="28" t="str">
        <x:v>F17; F18; S32; S33; W12; W17</x:v>
      </x:c>
      <x:c r="K65" s="30" t="str"/>
      <x:c r="L65" s="32" t="str"/>
      <x:c r="M65" s="30" t="str"/>
      <x:c r="N65" s="28" t="str">
        <x:v>https://drive.google.com/file/d/1ZMOX3aVmWujKCYV_YahrkQ5NPbFXuY7h/view</x:v>
      </x:c>
      <x:c r="O65" s="28" t="str">
        <x:v>All enabled release scope; defer only by explicit product exclusion</x:v>
      </x:c>
    </x:row>
    <x:row r="66" ht="98" customHeight="1">
      <x:c r="A66" s="28" t="str">
        <x:v>MOB-02</x:v>
      </x:c>
      <x:c r="B66" s="28" t="str">
        <x:v>Native app completion</x:v>
      </x:c>
      <x:c r="C66" s="28" t="str">
        <x:v>P1</x:v>
      </x:c>
      <x:c r="D66" s="28" t="str">
        <x:v>Compile and test actual iOS recovery host</x:v>
      </x:c>
      <x:c r="E66" s="28" t="str">
        <x:v>Mobile lead</x:v>
      </x:c>
      <x:c r="F66" s="28" t="str">
        <x:v>G3</x:v>
      </x:c>
      <x:c r="G66" s="28" t="str">
        <x:v>REP-08; REP-09</x:v>
      </x:c>
      <x:c r="H66" s="28" t="str">
        <x:v>Open</x:v>
      </x:c>
      <x:c r="I66" s="28" t="str">
        <x:v>Supported Xcode/iOS SDK compiles Keychain/Flutter host; accessibility classes, entitlements and foreground checks verified on devices.</x:v>
      </x:c>
      <x:c r="J66" s="28" t="str">
        <x:v>F17; F18; S32; S33; W12; W17</x:v>
      </x:c>
      <x:c r="K66" s="30" t="str"/>
      <x:c r="L66" s="32" t="str"/>
      <x:c r="M66" s="30" t="str"/>
      <x:c r="N66" s="28" t="str">
        <x:v>https://drive.google.com/file/d/1ZMOX3aVmWujKCYV_YahrkQ5NPbFXuY7h/view</x:v>
      </x:c>
      <x:c r="O66" s="28" t="str">
        <x:v>All enabled release scope; defer only by explicit product exclusion</x:v>
      </x:c>
    </x:row>
    <x:row r="67" ht="98" customHeight="1">
      <x:c r="A67" s="28" t="str">
        <x:v>MOB-03</x:v>
      </x:c>
      <x:c r="B67" s="28" t="str">
        <x:v>Native app completion</x:v>
      </x:c>
      <x:c r="C67" s="28" t="str">
        <x:v>P1</x:v>
      </x:c>
      <x:c r="D67" s="28" t="str">
        <x:v>Run pure Dart and Flutter analysis and authored harnesses</x:v>
      </x:c>
      <x:c r="E67" s="28" t="str">
        <x:v>Mobile lead</x:v>
      </x:c>
      <x:c r="F67" s="28" t="str">
        <x:v>G3</x:v>
      </x:c>
      <x:c r="G67" s="28" t="str">
        <x:v>REP-09; MOB-01; MOB-02</x:v>
      </x:c>
      <x:c r="H67" s="28" t="str">
        <x:v>Open</x:v>
      </x:c>
      <x:c r="I67" s="28" t="str">
        <x:v>All previously blocked Dart contracts and channel cases execute with no findings; no JVM/TS result counted as a Dart pass.</x:v>
      </x:c>
      <x:c r="J67" s="28" t="str">
        <x:v>F17; F18; S32; S33; W12; W17</x:v>
      </x:c>
      <x:c r="K67" s="30" t="str"/>
      <x:c r="L67" s="32" t="str"/>
      <x:c r="M67" s="30" t="str"/>
      <x:c r="N67" s="28" t="str">
        <x:v>https://drive.google.com/file/d/1ZMOX3aVmWujKCYV_YahrkQ5NPbFXuY7h/view</x:v>
      </x:c>
      <x:c r="O67" s="28" t="str">
        <x:v>All enabled release scope; defer only by explicit product exclusion</x:v>
      </x:c>
    </x:row>
    <x:row r="68" ht="98" customHeight="1">
      <x:c r="A68" s="28" t="str">
        <x:v>MOB-04</x:v>
      </x:c>
      <x:c r="B68" s="28" t="str">
        <x:v>Native app completion</x:v>
      </x:c>
      <x:c r="C68" s="28" t="str">
        <x:v>P1</x:v>
      </x:c>
      <x:c r="D68" s="28" t="str">
        <x:v>Register shared adapters in all five governed app compositions</x:v>
      </x:c>
      <x:c r="E68" s="28" t="str">
        <x:v>Mobile lead</x:v>
      </x:c>
      <x:c r="F68" s="28" t="str">
        <x:v>G3</x:v>
      </x:c>
      <x:c r="G68" s="28" t="str">
        <x:v>MOB-03; AUT-04</x:v>
      </x:c>
      <x:c r="H68" s="28" t="str">
        <x:v>Open</x:v>
      </x:c>
      <x:c r="I68" s="28" t="str">
        <x:v>No duplicated business logic; dependency/layer validators pass; feature remains disabled in unapproved clubs/platforms.</x:v>
      </x:c>
      <x:c r="J68" s="28" t="str">
        <x:v>F17; F18; S32; S33; W12; W17</x:v>
      </x:c>
      <x:c r="K68" s="30" t="str"/>
      <x:c r="L68" s="32" t="str"/>
      <x:c r="M68" s="30" t="str"/>
      <x:c r="N68" s="28" t="str">
        <x:v>https://drive.google.com/file/d/1ZMOX3aVmWujKCYV_YahrkQ5NPbFXuY7h/view</x:v>
      </x:c>
      <x:c r="O68" s="28" t="str">
        <x:v>All enabled release scope; defer only by explicit product exclusion</x:v>
      </x:c>
    </x:row>
    <x:row r="69" ht="98" customHeight="1">
      <x:c r="A69" s="28" t="str">
        <x:v>MOB-05</x:v>
      </x:c>
      <x:c r="B69" s="28" t="str">
        <x:v>Native app completion</x:v>
      </x:c>
      <x:c r="C69" s="28" t="str">
        <x:v>P1</x:v>
      </x:c>
      <x:c r="D69" s="28" t="str">
        <x:v>Build accessible review, confirm and recovery screens</x:v>
      </x:c>
      <x:c r="E69" s="28" t="str">
        <x:v>Mobile lead</x:v>
      </x:c>
      <x:c r="F69" s="28" t="str">
        <x:v>G3</x:v>
      </x:c>
      <x:c r="G69" s="28" t="str">
        <x:v>MOB-04; PRD-05</x:v>
      </x:c>
      <x:c r="H69" s="28" t="str">
        <x:v>Open</x:v>
      </x:c>
      <x:c r="I69" s="28" t="str">
        <x:v>All payment fields and consequences displayed; separate foreground confirmation, assistive-technology and large-text tests pass.</x:v>
      </x:c>
      <x:c r="J69" s="28" t="str">
        <x:v>F17; F18; S32; S33; W12; W17</x:v>
      </x:c>
      <x:c r="K69" s="30" t="str"/>
      <x:c r="L69" s="32" t="str"/>
      <x:c r="M69" s="30" t="str"/>
      <x:c r="N69" s="28" t="str">
        <x:v>https://drive.google.com/file/d/1ZMOX3aVmWujKCYV_YahrkQ5NPbFXuY7h/view</x:v>
      </x:c>
      <x:c r="O69" s="28" t="str">
        <x:v>All enabled release scope; defer only by explicit product exclusion</x:v>
      </x:c>
    </x:row>
    <x:row r="70" ht="98" customHeight="1">
      <x:c r="A70" s="28" t="str">
        <x:v>MOB-06</x:v>
      </x:c>
      <x:c r="B70" s="28" t="str">
        <x:v>Native app completion</x:v>
      </x:c>
      <x:c r="C70" s="28" t="str">
        <x:v>P0</x:v>
      </x:c>
      <x:c r="D70" s="28" t="str">
        <x:v>Implement server-authoritative lost-state and unresolved-attempt recovery</x:v>
      </x:c>
      <x:c r="E70" s="28" t="str">
        <x:v>Mobile lead</x:v>
      </x:c>
      <x:c r="F70" s="28" t="str">
        <x:v>G3</x:v>
      </x:c>
      <x:c r="G70" s="28" t="str">
        <x:v>ARC-05; AUT-06</x:v>
      </x:c>
      <x:c r="H70" s="28" t="str">
        <x:v>Open</x:v>
      </x:c>
      <x:c r="I70" s="28" t="str">
        <x:v>Reinstall/clear-data/device-loss cannot silently authorize a second unresolved payment attempt; governed resolution has durable audit.</x:v>
      </x:c>
      <x:c r="J70" s="28" t="str">
        <x:v>F17; F18; S32; S33; W12; W17</x:v>
      </x:c>
      <x:c r="K70" s="30" t="str"/>
      <x:c r="L70" s="32" t="str"/>
      <x:c r="M70" s="30" t="str"/>
      <x:c r="N70" s="28" t="str">
        <x:v>https://drive.google.com/file/d/1ZMOX3aVmWujKCYV_YahrkQ5NPbFXuY7h/view</x:v>
      </x:c>
      <x:c r="O70" s="28" t="str">
        <x:v>All enabled release scope; defer only by explicit product exclusion</x:v>
      </x:c>
    </x:row>
    <x:row r="71" ht="98" customHeight="1">
      <x:c r="A71" s="28" t="str">
        <x:v>MOB-07</x:v>
      </x:c>
      <x:c r="B71" s="28" t="str">
        <x:v>Native app completion</x:v>
      </x:c>
      <x:c r="C71" s="28" t="str">
        <x:v>P1</x:v>
      </x:c>
      <x:c r="D71" s="28" t="str">
        <x:v>Wire lifecycle, logout, account-switch and route guards</x:v>
      </x:c>
      <x:c r="E71" s="28" t="str">
        <x:v>Mobile lead</x:v>
      </x:c>
      <x:c r="F71" s="28" t="str">
        <x:v>G3</x:v>
      </x:c>
      <x:c r="G71" s="28" t="str">
        <x:v>MOB-04; MOB-06</x:v>
      </x:c>
      <x:c r="H71" s="28" t="str">
        <x:v>Open</x:v>
      </x:c>
      <x:c r="I71" s="28" t="str">
        <x:v>Backgrounding/session/club change invalidates review; restoration performs reads only and preserves unknown outcomes.</x:v>
      </x:c>
      <x:c r="J71" s="28" t="str">
        <x:v>F17; F18; S32; S33; W12; W17</x:v>
      </x:c>
      <x:c r="K71" s="30" t="str"/>
      <x:c r="L71" s="32" t="str"/>
      <x:c r="M71" s="30" t="str"/>
      <x:c r="N71" s="28" t="str">
        <x:v>https://drive.google.com/file/d/1ZMOX3aVmWujKCYV_YahrkQ5NPbFXuY7h/view</x:v>
      </x:c>
      <x:c r="O71" s="28" t="str">
        <x:v>All enabled release scope; defer only by explicit product exclusion</x:v>
      </x:c>
    </x:row>
    <x:row r="72" ht="98" customHeight="1">
      <x:c r="A72" s="28" t="str">
        <x:v>MOB-08</x:v>
      </x:c>
      <x:c r="B72" s="28" t="str">
        <x:v>Native app completion</x:v>
      </x:c>
      <x:c r="C72" s="28" t="str">
        <x:v>P1</x:v>
      </x:c>
      <x:c r="D72" s="28" t="str">
        <x:v>Validate USSD handoff on approved carriers and SIM scenarios</x:v>
      </x:c>
      <x:c r="E72" s="28" t="str">
        <x:v>Mobile lead</x:v>
      </x:c>
      <x:c r="F72" s="28" t="str">
        <x:v>G3</x:v>
      </x:c>
      <x:c r="G72" s="28" t="str">
        <x:v>MOB-05; MOB-07; REG-06</x:v>
      </x:c>
      <x:c r="H72" s="28" t="str">
        <x:v>Open</x:v>
      </x:c>
      <x:c r="I72" s="28" t="str">
        <x:v>Each supported Android/iOS-carrier path proves exact code display and explicit confirmation; unsupported paths fail clearly; no automatic payment.</x:v>
      </x:c>
      <x:c r="J72" s="28" t="str">
        <x:v>F17; F18; S32; S33; W12; W17</x:v>
      </x:c>
      <x:c r="K72" s="30" t="str"/>
      <x:c r="L72" s="32" t="str"/>
      <x:c r="M72" s="30" t="str"/>
      <x:c r="N72" s="28" t="str">
        <x:v>https://drive.google.com/file/d/1ZMOX3aVmWujKCYV_YahrkQ5NPbFXuY7h/view</x:v>
      </x:c>
      <x:c r="O72" s="28" t="str">
        <x:v>All enabled release scope; defer only by explicit product exclusion</x:v>
      </x:c>
    </x:row>
    <x:row r="73" ht="98" customHeight="1">
      <x:c r="A73" s="28" t="str">
        <x:v>MOB-09</x:v>
      </x:c>
      <x:c r="B73" s="28" t="str">
        <x:v>Native app completion</x:v>
      </x:c>
      <x:c r="C73" s="28" t="str">
        <x:v>P1</x:v>
      </x:c>
      <x:c r="D73" s="28" t="str">
        <x:v>Verify merged native privacy/link/notification configuration</x:v>
      </x:c>
      <x:c r="E73" s="28" t="str">
        <x:v>Mobile lead</x:v>
      </x:c>
      <x:c r="F73" s="28" t="str">
        <x:v>G3</x:v>
      </x:c>
      <x:c r="G73" s="28" t="str">
        <x:v>MOB-04; SEC-07</x:v>
      </x:c>
      <x:c r="H73" s="28" t="str">
        <x:v>Open</x:v>
      </x:c>
      <x:c r="I73" s="28" t="str">
        <x:v>Final manifests, associated domains, permission requests, push token scoping and app links checked for every release flavor.</x:v>
      </x:c>
      <x:c r="J73" s="28" t="str">
        <x:v>F17; F18; S32; S33; W12; W17</x:v>
      </x:c>
      <x:c r="K73" s="30" t="str"/>
      <x:c r="L73" s="32" t="str"/>
      <x:c r="M73" s="30" t="str"/>
      <x:c r="N73" s="28" t="str">
        <x:v>https://drive.google.com/file/d/1ZMOX3aVmWujKCYV_YahrkQ5NPbFXuY7h/view</x:v>
      </x:c>
      <x:c r="O73" s="28" t="str">
        <x:v>All enabled release scope; defer only by explicit product exclusion</x:v>
      </x:c>
    </x:row>
    <x:row r="74" ht="98" customHeight="1">
      <x:c r="A74" s="28" t="str">
        <x:v>MOB-10</x:v>
      </x:c>
      <x:c r="B74" s="28" t="str">
        <x:v>Native app completion</x:v>
      </x:c>
      <x:c r="C74" s="28" t="str">
        <x:v>P1</x:v>
      </x:c>
      <x:c r="D74" s="28" t="str">
        <x:v>Execute ten signed club/platform release journeys</x:v>
      </x:c>
      <x:c r="E74" s="28" t="str">
        <x:v>Mobile lead</x:v>
      </x:c>
      <x:c r="F74" s="28" t="str">
        <x:v>G3</x:v>
      </x:c>
      <x:c r="G74" s="28" t="str">
        <x:v>MOB-08; MOB-09</x:v>
      </x:c>
      <x:c r="H74" s="28" t="str">
        <x:v>Open</x:v>
      </x:c>
      <x:c r="I74" s="28" t="str">
        <x:v>Five clubs times Android/iOS cover install, upgrade, weak network, restore, payment recovery and logout on representative physical devices.</x:v>
      </x:c>
      <x:c r="J74" s="28" t="str">
        <x:v>F17; F18; S32; S33; W12; W17</x:v>
      </x:c>
      <x:c r="K74" s="30" t="str"/>
      <x:c r="L74" s="32" t="str"/>
      <x:c r="M74" s="30" t="str"/>
      <x:c r="N74" s="28" t="str">
        <x:v>https://drive.google.com/file/d/1ZMOX3aVmWujKCYV_YahrkQ5NPbFXuY7h/view</x:v>
      </x:c>
      <x:c r="O74" s="28" t="str">
        <x:v>All enabled release scope; defer only by explicit product exclusion</x:v>
      </x:c>
    </x:row>
    <x:row r="75" ht="98" customHeight="1">
      <x:c r="A75" s="28" t="str">
        <x:v>WEB-01</x:v>
      </x:c>
      <x:c r="B75" s="28" t="str">
        <x:v>Public web and administration</x:v>
      </x:c>
      <x:c r="C75" s="28" t="str">
        <x:v>P0</x:v>
      </x:c>
      <x:c r="D75" s="28" t="str">
        <x:v>Install active-snapshot publication/read integration</x:v>
      </x:c>
      <x:c r="E75" s="28" t="str">
        <x:v>Web/admin lead</x:v>
      </x:c>
      <x:c r="F75" s="28" t="str">
        <x:v>G3</x:v>
      </x:c>
      <x:c r="G75" s="28" t="str">
        <x:v>REP-03; DAT-08</x:v>
      </x:c>
      <x:c r="H75" s="28" t="str">
        <x:v>Open</x:v>
      </x:c>
      <x:c r="I75" s="28" t="str">
        <x:v>The executed public entrypoint reads one sealed approved snapshot; partial imports and stale mixed records fail covered tests.</x:v>
      </x:c>
      <x:c r="J75" s="28" t="str">
        <x:v>F04; F05; F08; F20; F21; S09; W08</x:v>
      </x:c>
      <x:c r="K75" s="30" t="str"/>
      <x:c r="L75" s="32" t="str"/>
      <x:c r="M75" s="30" t="str"/>
      <x:c r="N75" s="28" t="str">
        <x:v>https://drive.google.com/file/d/11HjHNGCFck0SiQGNHOWljw4Q-nxeMIPw/view</x:v>
      </x:c>
      <x:c r="O75" s="28" t="str">
        <x:v>All enabled release scope; defer only by explicit product exclusion</x:v>
      </x:c>
    </x:row>
    <x:row r="76" ht="98" customHeight="1">
      <x:c r="A76" s="28" t="str">
        <x:v>WEB-02</x:v>
      </x:c>
      <x:c r="B76" s="28" t="str">
        <x:v>Public web and administration</x:v>
      </x:c>
      <x:c r="C76" s="28" t="str">
        <x:v>P1</x:v>
      </x:c>
      <x:c r="D76" s="28" t="str">
        <x:v>Implement media digest, rights revocation and cache policy</x:v>
      </x:c>
      <x:c r="E76" s="28" t="str">
        <x:v>Web/admin lead</x:v>
      </x:c>
      <x:c r="F76" s="28" t="str">
        <x:v>G3</x:v>
      </x:c>
      <x:c r="G76" s="28" t="str">
        <x:v>WEB-01</x:v>
      </x:c>
      <x:c r="H76" s="28" t="str">
        <x:v>Open</x:v>
      </x:c>
      <x:c r="I76" s="28" t="str">
        <x:v>Same-size wrong bytes denied; expired/revoked rights unavailable through CDN/object URLs; content-addressed caching tested.</x:v>
      </x:c>
      <x:c r="J76" s="28" t="str">
        <x:v>F04; F05; F08; F20; F21; S09; W08</x:v>
      </x:c>
      <x:c r="K76" s="30" t="str"/>
      <x:c r="L76" s="32" t="str"/>
      <x:c r="M76" s="30" t="str"/>
      <x:c r="N76" s="28" t="str">
        <x:v>https://drive.google.com/file/d/11HjHNGCFck0SiQGNHOWljw4Q-nxeMIPw/view</x:v>
      </x:c>
      <x:c r="O76" s="28" t="str">
        <x:v>All enabled release scope; defer only by explicit product exclusion</x:v>
      </x:c>
    </x:row>
    <x:row r="77" ht="98" customHeight="1">
      <x:c r="A77" s="28" t="str">
        <x:v>WEB-03</x:v>
      </x:c>
      <x:c r="B77" s="28" t="str">
        <x:v>Public web and administration</x:v>
      </x:c>
      <x:c r="C77" s="28" t="str">
        <x:v>P1</x:v>
      </x:c>
      <x:c r="D77" s="28" t="str">
        <x:v>Define browser member portal boundaries and session contract</x:v>
      </x:c>
      <x:c r="E77" s="28" t="str">
        <x:v>Web/admin lead</x:v>
      </x:c>
      <x:c r="F77" s="28" t="str">
        <x:v>G3</x:v>
      </x:c>
      <x:c r="G77" s="28" t="str">
        <x:v>REP-10</x:v>
      </x:c>
      <x:c r="H77" s="28" t="str">
        <x:v>Open</x:v>
      </x:c>
      <x:c r="I77" s="28" t="str">
        <x:v>Approved route/product matrix covers current web membership and contribution initiation without reusing native-only headers as security.</x:v>
      </x:c>
      <x:c r="J77" s="28" t="str">
        <x:v>F04; F05; F08; F20; F21; S09; W08</x:v>
      </x:c>
      <x:c r="K77" s="30" t="str"/>
      <x:c r="L77" s="32" t="str"/>
      <x:c r="M77" s="30" t="str"/>
      <x:c r="N77" s="28" t="str">
        <x:v>https://drive.google.com/file/d/11HjHNGCFck0SiQGNHOWljw4Q-nxeMIPw/view</x:v>
      </x:c>
      <x:c r="O77" s="28" t="str">
        <x:v>All enabled release scope; defer only by explicit product exclusion</x:v>
      </x:c>
    </x:row>
    <x:row r="78" ht="98" customHeight="1">
      <x:c r="A78" s="28" t="str">
        <x:v>WEB-04</x:v>
      </x:c>
      <x:c r="B78" s="28" t="str">
        <x:v>Public web and administration</x:v>
      </x:c>
      <x:c r="C78" s="28" t="str">
        <x:v>P1</x:v>
      </x:c>
      <x:c r="D78" s="28" t="str">
        <x:v>Connect browser membership/contribution flows to approved APIs</x:v>
      </x:c>
      <x:c r="E78" s="28" t="str">
        <x:v>Web/admin lead</x:v>
      </x:c>
      <x:c r="F78" s="28" t="str">
        <x:v>G3</x:v>
      </x:c>
      <x:c r="G78" s="28" t="str">
        <x:v>AUT-05; PAY-04; WEB-03</x:v>
      </x:c>
      <x:c r="H78" s="28" t="str">
        <x:v>Open</x:v>
      </x:c>
      <x:c r="I78" s="28" t="str">
        <x:v>Cookie session, CSRF, owned reads, unknown writes and no automatic financial retry pass integrated browser tests.</x:v>
      </x:c>
      <x:c r="J78" s="28" t="str">
        <x:v>F04; F05; F08; F20; F21; S09; W08</x:v>
      </x:c>
      <x:c r="K78" s="30" t="str"/>
      <x:c r="L78" s="32" t="str"/>
      <x:c r="M78" s="30" t="str"/>
      <x:c r="N78" s="28" t="str">
        <x:v>https://drive.google.com/file/d/11HjHNGCFck0SiQGNHOWljw4Q-nxeMIPw/view</x:v>
      </x:c>
      <x:c r="O78" s="28" t="str">
        <x:v>All enabled release scope; defer only by explicit product exclusion</x:v>
      </x:c>
    </x:row>
    <x:row r="79" ht="98" customHeight="1">
      <x:c r="A79" s="28" t="str">
        <x:v>WEB-05</x:v>
      </x:c>
      <x:c r="B79" s="28" t="str">
        <x:v>Public web and administration</x:v>
      </x:c>
      <x:c r="C79" s="28" t="str">
        <x:v>P1</x:v>
      </x:c>
      <x:c r="D79" s="28" t="str">
        <x:v>Reconcile and wire operator console configuration and wrapper</x:v>
      </x:c>
      <x:c r="E79" s="28" t="str">
        <x:v>Web/admin lead</x:v>
      </x:c>
      <x:c r="F79" s="28" t="str">
        <x:v>G3</x:v>
      </x:c>
      <x:c r="G79" s="28" t="str">
        <x:v>REP-03; SEC-09</x:v>
      </x:c>
      <x:c r="H79" s="28" t="str">
        <x:v>Open</x:v>
      </x:c>
      <x:c r="I79" s="28" t="str">
        <x:v>Documented console entrypoint/config/assets exist and build; current API implements all UI-used methods with real Access identity.</x:v>
      </x:c>
      <x:c r="J79" s="28" t="str">
        <x:v>F04; F05; F08; F20; F21; S09; W08</x:v>
      </x:c>
      <x:c r="K79" s="30" t="str"/>
      <x:c r="L79" s="32" t="str"/>
      <x:c r="M79" s="30" t="str"/>
      <x:c r="N79" s="28" t="str">
        <x:v>https://drive.google.com/file/d/11HjHNGCFck0SiQGNHOWljw4Q-nxeMIPw/view</x:v>
      </x:c>
      <x:c r="O79" s="28" t="str">
        <x:v>All enabled release scope; defer only by explicit product exclusion</x:v>
      </x:c>
    </x:row>
    <x:row r="80" ht="98" customHeight="1">
      <x:c r="A80" s="28" t="str">
        <x:v>WEB-06</x:v>
      </x:c>
      <x:c r="B80" s="28" t="str">
        <x:v>Public web and administration</x:v>
      </x:c>
      <x:c r="C80" s="28" t="str">
        <x:v>P1</x:v>
      </x:c>
      <x:c r="D80" s="28" t="str">
        <x:v>Complete role-scoped admin actions and maker/checker where required</x:v>
      </x:c>
      <x:c r="E80" s="28" t="str">
        <x:v>Web/admin lead</x:v>
      </x:c>
      <x:c r="F80" s="28" t="str">
        <x:v>G3</x:v>
      </x:c>
      <x:c r="G80" s="28" t="str">
        <x:v>AUT-06; WEB-05</x:v>
      </x:c>
      <x:c r="H80" s="28" t="str">
        <x:v>Open</x:v>
      </x:c>
      <x:c r="I80" s="28" t="str">
        <x:v>Finance/content/support roles have explicit per-club authority, separation-of-duties rules and immutable audit trails.</x:v>
      </x:c>
      <x:c r="J80" s="28" t="str">
        <x:v>F04; F05; F08; F20; F21; S09; W08</x:v>
      </x:c>
      <x:c r="K80" s="30" t="str"/>
      <x:c r="L80" s="32" t="str"/>
      <x:c r="M80" s="30" t="str"/>
      <x:c r="N80" s="28" t="str">
        <x:v>https://drive.google.com/file/d/11HjHNGCFck0SiQGNHOWljw4Q-nxeMIPw/view</x:v>
      </x:c>
      <x:c r="O80" s="28" t="str">
        <x:v>All enabled release scope; defer only by explicit product exclusion</x:v>
      </x:c>
    </x:row>
    <x:row r="81" ht="98" customHeight="1">
      <x:c r="A81" s="28" t="str">
        <x:v>WEB-07</x:v>
      </x:c>
      <x:c r="B81" s="28" t="str">
        <x:v>Public web and administration</x:v>
      </x:c>
      <x:c r="C81" s="28" t="str">
        <x:v>P1</x:v>
      </x:c>
      <x:c r="D81" s="28" t="str">
        <x:v>Harden PWA caches, offline states and logout cleanup</x:v>
      </x:c>
      <x:c r="E81" s="28" t="str">
        <x:v>Web/admin lead</x:v>
      </x:c>
      <x:c r="F81" s="28" t="str">
        <x:v>G3</x:v>
      </x:c>
      <x:c r="G81" s="28" t="str">
        <x:v>WEB-04; WEB-06</x:v>
      </x:c>
      <x:c r="H81" s="28" t="str">
        <x:v>Open</x:v>
      </x:c>
      <x:c r="I81" s="28" t="str">
        <x:v>Private pages/responses not cached across accounts; offline status does not show success for unconfirmed writes; stale assets update safely.</x:v>
      </x:c>
      <x:c r="J81" s="28" t="str">
        <x:v>F04; F05; F08; F20; F21; S09; W08</x:v>
      </x:c>
      <x:c r="K81" s="30" t="str"/>
      <x:c r="L81" s="32" t="str"/>
      <x:c r="M81" s="30" t="str"/>
      <x:c r="N81" s="28" t="str">
        <x:v>https://drive.google.com/file/d/11HjHNGCFck0SiQGNHOWljw4Q-nxeMIPw/view</x:v>
      </x:c>
      <x:c r="O81" s="28" t="str">
        <x:v>All enabled release scope; defer only by explicit product exclusion</x:v>
      </x:c>
    </x:row>
    <x:row r="82" ht="98" customHeight="1">
      <x:c r="A82" s="28" t="str">
        <x:v>WEB-08</x:v>
      </x:c>
      <x:c r="B82" s="28" t="str">
        <x:v>Public web and administration</x:v>
      </x:c>
      <x:c r="C82" s="28" t="str">
        <x:v>P1</x:v>
      </x:c>
      <x:c r="D82" s="28" t="str">
        <x:v>Replace permissive CSP and broad origins with reviewed policy</x:v>
      </x:c>
      <x:c r="E82" s="28" t="str">
        <x:v>Web/admin lead</x:v>
      </x:c>
      <x:c r="F82" s="28" t="str">
        <x:v>G3</x:v>
      </x:c>
      <x:c r="G82" s="28" t="str">
        <x:v>WEB-04; WEB-06</x:v>
      </x:c>
      <x:c r="H82" s="28" t="str">
        <x:v>Open</x:v>
      </x:c>
      <x:c r="I82" s="28" t="str">
        <x:v>Nonce/hash policy or documented safe alternative; no unexpected script/storage origins, unsafe redirects or cross-tenant cache keys.</x:v>
      </x:c>
      <x:c r="J82" s="28" t="str">
        <x:v>F04; F05; F08; F20; F21; S09; W08</x:v>
      </x:c>
      <x:c r="K82" s="30" t="str"/>
      <x:c r="L82" s="32" t="str"/>
      <x:c r="M82" s="30" t="str"/>
      <x:c r="N82" s="28" t="str">
        <x:v>https://drive.google.com/file/d/11HjHNGCFck0SiQGNHOWljw4Q-nxeMIPw/view</x:v>
      </x:c>
      <x:c r="O82" s="28" t="str">
        <x:v>All enabled release scope; defer only by explicit product exclusion</x:v>
      </x:c>
    </x:row>
    <x:row r="83" ht="98" customHeight="1">
      <x:c r="A83" s="28" t="str">
        <x:v>WEB-09</x:v>
      </x:c>
      <x:c r="B83" s="28" t="str">
        <x:v>Public web and administration</x:v>
      </x:c>
      <x:c r="C83" s="28" t="str">
        <x:v>P1</x:v>
      </x:c>
      <x:c r="D83" s="28" t="str">
        <x:v>Validate domains, SEO and link metadata per club</x:v>
      </x:c>
      <x:c r="E83" s="28" t="str">
        <x:v>Web/admin lead</x:v>
      </x:c>
      <x:c r="F83" s="28" t="str">
        <x:v>G3</x:v>
      </x:c>
      <x:c r="G83" s="28" t="str">
        <x:v>ARC-06; REG-09</x:v>
      </x:c>
      <x:c r="H83" s="28" t="str">
        <x:v>Open</x:v>
      </x:c>
      <x:c r="I83" s="28" t="str">
        <x:v>Hostname/slug mapping, canonical URLs, sitemap, robots, legal routes, previews, universal/app links and TLS checked for five sites.</x:v>
      </x:c>
      <x:c r="J83" s="28" t="str">
        <x:v>F04; F05; F08; F20; F21; S09; W08</x:v>
      </x:c>
      <x:c r="K83" s="30" t="str"/>
      <x:c r="L83" s="32" t="str"/>
      <x:c r="M83" s="30" t="str"/>
      <x:c r="N83" s="28" t="str">
        <x:v>https://drive.google.com/file/d/11HjHNGCFck0SiQGNHOWljw4Q-nxeMIPw/view</x:v>
      </x:c>
      <x:c r="O83" s="28" t="str">
        <x:v>All enabled release scope; defer only by explicit product exclusion</x:v>
      </x:c>
    </x:row>
    <x:row r="84" ht="98" customHeight="1">
      <x:c r="A84" s="28" t="str">
        <x:v>WEB-10</x:v>
      </x:c>
      <x:c r="B84" s="28" t="str">
        <x:v>Public web and administration</x:v>
      </x:c>
      <x:c r="C84" s="28" t="str">
        <x:v>P1</x:v>
      </x:c>
      <x:c r="D84" s="28" t="str">
        <x:v>Complete real desktop/mobile-browser and operator UAT</x:v>
      </x:c>
      <x:c r="E84" s="28" t="str">
        <x:v>Web/admin lead</x:v>
      </x:c>
      <x:c r="F84" s="28" t="str">
        <x:v>G3</x:v>
      </x:c>
      <x:c r="G84" s="28" t="str">
        <x:v>WEB-02; WEB-04; WEB-06; WEB-08; WEB-09</x:v>
      </x:c>
      <x:c r="H84" s="28" t="str">
        <x:v>Open</x:v>
      </x:c>
      <x:c r="I84" s="28" t="str">
        <x:v>Current candidate tested in Chromium/WebKit/Firefox where supported with real isolated Access and private roles; screenshots not surrogate network proof.</x:v>
      </x:c>
      <x:c r="J84" s="28" t="str">
        <x:v>F04; F05; F08; F20; F21; S09; W08</x:v>
      </x:c>
      <x:c r="K84" s="30" t="str"/>
      <x:c r="L84" s="32" t="str"/>
      <x:c r="M84" s="30" t="str"/>
      <x:c r="N84" s="28" t="str">
        <x:v>https://drive.google.com/file/d/11HjHNGCFck0SiQGNHOWljw4Q-nxeMIPw/view</x:v>
      </x:c>
      <x:c r="O84" s="28" t="str">
        <x:v>All enabled release scope; defer only by explicit product exclusion</x:v>
      </x:c>
    </x:row>
    <x:row r="85" ht="98" customHeight="1">
      <x:c r="A85" s="28" t="str">
        <x:v>PRD-01</x:v>
      </x:c>
      <x:c r="B85" s="28" t="str">
        <x:v>Product, content and design</x:v>
      </x:c>
      <x:c r="C85" s="28" t="str">
        <x:v>P0</x:v>
      </x:c>
      <x:c r="D85" s="28" t="str">
        <x:v>Approve one Predict/FET economic contract</x:v>
      </x:c>
      <x:c r="E85" s="28" t="str">
        <x:v>Product/design lead</x:v>
      </x:c>
      <x:c r="F85" s="28" t="str">
        <x:v>G2–G3</x:v>
      </x:c>
      <x:c r="G85" s="28" t="str">
        <x:v>REG-08; REP-10</x:v>
      </x:c>
      <x:c r="H85" s="28" t="str">
        <x:v>Open</x:v>
      </x:c>
      <x:c r="I85" s="28" t="str">
        <x:v>Versioned free-entry or separately approved alternative; ledger/API/UI/terms/tests and historical treatment agree before transactional enablement.</x:v>
      </x:c>
      <x:c r="J85" s="28" t="str">
        <x:v>F19; F20; F23; F24; W14; W15</x:v>
      </x:c>
      <x:c r="K85" s="30" t="str"/>
      <x:c r="L85" s="32" t="str"/>
      <x:c r="M85" s="30" t="str"/>
      <x:c r="N85" s="28" t="str">
        <x:v>https://drive.google.com/file/d/17ycbTO5tfhGoKOFEnqrDMmIud2MmIQWJ/view</x:v>
      </x:c>
      <x:c r="O85" s="28" t="str">
        <x:v>All enabled release scope; defer only by explicit product exclusion</x:v>
      </x:c>
    </x:row>
    <x:row r="86" ht="98" customHeight="1">
      <x:c r="A86" s="28" t="str">
        <x:v>PRD-02</x:v>
      </x:c>
      <x:c r="B86" s="28" t="str">
        <x:v>Product, content and design</x:v>
      </x:c>
      <x:c r="C86" s="28" t="str">
        <x:v>P1</x:v>
      </x:c>
      <x:c r="D86" s="28" t="str">
        <x:v>Complete authoritative fixture/result lifecycle</x:v>
      </x:c>
      <x:c r="E86" s="28" t="str">
        <x:v>Product/design lead</x:v>
      </x:c>
      <x:c r="F86" s="28" t="str">
        <x:v>G2–G3</x:v>
      </x:c>
      <x:c r="G86" s="28" t="str">
        <x:v>DAT-02; PRD-01</x:v>
      </x:c>
      <x:c r="H86" s="28" t="str">
        <x:v>Open</x:v>
      </x:c>
      <x:c r="I86" s="28" t="str">
        <x:v>Feed IDs, kickoff, postponement, void, official-result correction and settlement finality controlled server-side; duplicate feeds tested.</x:v>
      </x:c>
      <x:c r="J86" s="28" t="str">
        <x:v>F19; F20; F23; F24; W14; W15</x:v>
      </x:c>
      <x:c r="K86" s="30" t="str"/>
      <x:c r="L86" s="32" t="str"/>
      <x:c r="M86" s="30" t="str"/>
      <x:c r="N86" s="28" t="str">
        <x:v>https://drive.google.com/file/d/17ycbTO5tfhGoKOFEnqrDMmIud2MmIQWJ/view</x:v>
      </x:c>
      <x:c r="O86" s="28" t="str">
        <x:v>All enabled release scope; defer only by explicit product exclusion</x:v>
      </x:c>
    </x:row>
    <x:row r="87" ht="98" customHeight="1">
      <x:c r="A87" s="28" t="str">
        <x:v>PRD-03</x:v>
      </x:c>
      <x:c r="B87" s="28" t="str">
        <x:v>Product, content and design</x:v>
      </x:c>
      <x:c r="C87" s="28" t="str">
        <x:v>P1</x:v>
      </x:c>
      <x:c r="D87" s="28" t="str">
        <x:v>Approve source/media/brand rights with expiry and scope</x:v>
      </x:c>
      <x:c r="E87" s="28" t="str">
        <x:v>Product/design lead</x:v>
      </x:c>
      <x:c r="F87" s="28" t="str">
        <x:v>G2–G3</x:v>
      </x:c>
      <x:c r="G87" s="28" t="str">
        <x:v>DAT-08; REG-09</x:v>
      </x:c>
      <x:c r="H87" s="28" t="str">
        <x:v>Open</x:v>
      </x:c>
      <x:c r="I87" s="28" t="str">
        <x:v>Club crests, players, ticket/shop images, feeds and generated assets have owner, permission, territory and renewal evidence.</x:v>
      </x:c>
      <x:c r="J87" s="28" t="str">
        <x:v>F19; F20; F23; F24; W14; W15</x:v>
      </x:c>
      <x:c r="K87" s="30" t="str"/>
      <x:c r="L87" s="32" t="str"/>
      <x:c r="M87" s="30" t="str"/>
      <x:c r="N87" s="28" t="str">
        <x:v>https://drive.google.com/file/d/17ycbTO5tfhGoKOFEnqrDMmIud2MmIQWJ/view</x:v>
      </x:c>
      <x:c r="O87" s="28" t="str">
        <x:v>All enabled release scope; defer only by explicit product exclusion</x:v>
      </x:c>
    </x:row>
    <x:row r="88" ht="98" customHeight="1">
      <x:c r="A88" s="28" t="str">
        <x:v>PRD-04</x:v>
      </x:c>
      <x:c r="B88" s="28" t="str">
        <x:v>Product, content and design</x:v>
      </x:c>
      <x:c r="C88" s="28" t="str">
        <x:v>P1</x:v>
      </x:c>
      <x:c r="D88" s="28" t="str">
        <x:v>Reconcile design authority and reusable semantic tokens</x:v>
      </x:c>
      <x:c r="E88" s="28" t="str">
        <x:v>Product/design lead</x:v>
      </x:c>
      <x:c r="F88" s="28" t="str">
        <x:v>G2–G3</x:v>
      </x:c>
      <x:c r="G88" s="28" t="str">
        <x:v>REP-10</x:v>
      </x:c>
      <x:c r="H88" s="28" t="str">
        <x:v>Open</x:v>
      </x:c>
      <x:c r="I88" s="28" t="str">
        <x:v>One accessible shared token/component system and documented club identity overrides; private skill provisioned to authorized reviewers/CI.</x:v>
      </x:c>
      <x:c r="J88" s="28" t="str">
        <x:v>F19; F20; F23; F24; W14; W15</x:v>
      </x:c>
      <x:c r="K88" s="30" t="str"/>
      <x:c r="L88" s="32" t="str"/>
      <x:c r="M88" s="30" t="str"/>
      <x:c r="N88" s="28" t="str">
        <x:v>https://drive.google.com/file/d/17ycbTO5tfhGoKOFEnqrDMmIud2MmIQWJ/view</x:v>
      </x:c>
      <x:c r="O88" s="28" t="str">
        <x:v>All enabled release scope; defer only by explicit product exclusion</x:v>
      </x:c>
    </x:row>
    <x:row r="89" ht="98" customHeight="1">
      <x:c r="A89" s="28" t="str">
        <x:v>PRD-05</x:v>
      </x:c>
      <x:c r="B89" s="28" t="str">
        <x:v>Product, content and design</x:v>
      </x:c>
      <x:c r="C89" s="28" t="str">
        <x:v>P1</x:v>
      </x:c>
      <x:c r="D89" s="28" t="str">
        <x:v>Define complete state and accessibility matrix</x:v>
      </x:c>
      <x:c r="E89" s="28" t="str">
        <x:v>Product/design lead</x:v>
      </x:c>
      <x:c r="F89" s="28" t="str">
        <x:v>G2–G3</x:v>
      </x:c>
      <x:c r="G89" s="28" t="str">
        <x:v>PRD-04</x:v>
      </x:c>
      <x:c r="H89" s="28" t="str">
        <x:v>Open</x:v>
      </x:c>
      <x:c r="I89" s="28" t="str">
        <x:v>Loading/empty/error/offline/permission/unknown/disabled/destructive states mapped to real routes; WCAG 2.2 AA and native checks specified.</x:v>
      </x:c>
      <x:c r="J89" s="28" t="str">
        <x:v>F19; F20; F23; F24; W14; W15</x:v>
      </x:c>
      <x:c r="K89" s="30" t="str"/>
      <x:c r="L89" s="32" t="str"/>
      <x:c r="M89" s="30" t="str"/>
      <x:c r="N89" s="28" t="str">
        <x:v>https://drive.google.com/file/d/17ycbTO5tfhGoKOFEnqrDMmIud2MmIQWJ/view</x:v>
      </x:c>
      <x:c r="O89" s="28" t="str">
        <x:v>All enabled release scope; defer only by explicit product exclusion</x:v>
      </x:c>
    </x:row>
    <x:row r="90" ht="98" customHeight="1">
      <x:c r="A90" s="28" t="str">
        <x:v>PRD-06</x:v>
      </x:c>
      <x:c r="B90" s="28" t="str">
        <x:v>Product, content and design</x:v>
      </x:c>
      <x:c r="C90" s="28" t="str">
        <x:v>P1</x:v>
      </x:c>
      <x:c r="D90" s="28" t="str">
        <x:v>Populate current route/state and artifact-evidence registries</x:v>
      </x:c>
      <x:c r="E90" s="28" t="str">
        <x:v>Product/design lead</x:v>
      </x:c>
      <x:c r="F90" s="28" t="str">
        <x:v>G2–G3</x:v>
      </x:c>
      <x:c r="G90" s="28" t="str">
        <x:v>PRD-05; QAT-08</x:v>
      </x:c>
      <x:c r="H90" s="28" t="str">
        <x:v>Open</x:v>
      </x:c>
      <x:c r="I90" s="28" t="str">
        <x:v>Each required cell links exact candidate/config/build/screenshot/test and accountable reviewer; empty registry is no longer treated as closure.</x:v>
      </x:c>
      <x:c r="J90" s="28" t="str">
        <x:v>F19; F20; F23; F24; W14; W15</x:v>
      </x:c>
      <x:c r="K90" s="30" t="str"/>
      <x:c r="L90" s="32" t="str"/>
      <x:c r="M90" s="30" t="str"/>
      <x:c r="N90" s="28" t="str">
        <x:v>https://drive.google.com/file/d/17ycbTO5tfhGoKOFEnqrDMmIud2MmIQWJ/view</x:v>
      </x:c>
      <x:c r="O90" s="28" t="str">
        <x:v>All enabled release scope; defer only by explicit product exclusion</x:v>
      </x:c>
    </x:row>
    <x:row r="91" ht="98" customHeight="1">
      <x:c r="A91" s="28" t="str">
        <x:v>PRD-07</x:v>
      </x:c>
      <x:c r="B91" s="28" t="str">
        <x:v>Product, content and design</x:v>
      </x:c>
      <x:c r="C91" s="28" t="str">
        <x:v>P1</x:v>
      </x:c>
      <x:c r="D91" s="28" t="str">
        <x:v>Resolve market-language and translation policy explicitly</x:v>
      </x:c>
      <x:c r="E91" s="28" t="str">
        <x:v>Product/design lead</x:v>
      </x:c>
      <x:c r="F91" s="28" t="str">
        <x:v>G2–G3</x:v>
      </x:c>
      <x:c r="G91" s="28" t="str">
        <x:v>REG-06; PRD-04</x:v>
      </x:c>
      <x:c r="H91" s="28" t="str">
        <x:v>Open</x:v>
      </x:c>
      <x:c r="I91" s="28" t="str">
        <x:v>Current English-only/source policy preserved until an approved change; test comprehension and terminology with each club market.</x:v>
      </x:c>
      <x:c r="J91" s="28" t="str">
        <x:v>F19; F20; F23; F24; W14; W15</x:v>
      </x:c>
      <x:c r="K91" s="30" t="str"/>
      <x:c r="L91" s="32" t="str"/>
      <x:c r="M91" s="30" t="str"/>
      <x:c r="N91" s="28" t="str">
        <x:v>https://drive.google.com/file/d/17ycbTO5tfhGoKOFEnqrDMmIud2MmIQWJ/view</x:v>
      </x:c>
      <x:c r="O91" s="28" t="str">
        <x:v>All enabled release scope; defer only by explicit product exclusion</x:v>
      </x:c>
    </x:row>
    <x:row r="92" ht="98" customHeight="1">
      <x:c r="A92" s="28" t="str">
        <x:v>PRD-08</x:v>
      </x:c>
      <x:c r="B92" s="28" t="str">
        <x:v>Product, content and design</x:v>
      </x:c>
      <x:c r="C92" s="28" t="str">
        <x:v>P1</x:v>
      </x:c>
      <x:c r="D92" s="28" t="str">
        <x:v>Complete onboarding, consent, help and support journeys</x:v>
      </x:c>
      <x:c r="E92" s="28" t="str">
        <x:v>Product/design lead</x:v>
      </x:c>
      <x:c r="F92" s="28" t="str">
        <x:v>G2–G3</x:v>
      </x:c>
      <x:c r="G92" s="28" t="str">
        <x:v>AUT-03; PAY-02</x:v>
      </x:c>
      <x:c r="H92" s="28" t="str">
        <x:v>Open</x:v>
      </x:c>
      <x:c r="I92" s="28" t="str">
        <x:v>New supporter, returning member, denied staff, missing record and recoverable payment flows have clear human support escalation.</x:v>
      </x:c>
      <x:c r="J92" s="28" t="str">
        <x:v>F19; F20; F23; F24; W14; W15</x:v>
      </x:c>
      <x:c r="K92" s="30" t="str"/>
      <x:c r="L92" s="32" t="str"/>
      <x:c r="M92" s="30" t="str"/>
      <x:c r="N92" s="28" t="str">
        <x:v>https://drive.google.com/file/d/17ycbTO5tfhGoKOFEnqrDMmIud2MmIQWJ/view</x:v>
      </x:c>
      <x:c r="O92" s="28" t="str">
        <x:v>All enabled release scope; defer only by explicit product exclusion</x:v>
      </x:c>
    </x:row>
    <x:row r="93" ht="98" customHeight="1">
      <x:c r="A93" s="28" t="str">
        <x:v>PRD-09</x:v>
      </x:c>
      <x:c r="B93" s="28" t="str">
        <x:v>Product, content and design</x:v>
      </x:c>
      <x:c r="C93" s="28" t="str">
        <x:v>P1</x:v>
      </x:c>
      <x:c r="D93" s="28" t="str">
        <x:v>Verify runtime flags and deep-link authorization everywhere</x:v>
      </x:c>
      <x:c r="E93" s="28" t="str">
        <x:v>Product/design lead</x:v>
      </x:c>
      <x:c r="F93" s="28" t="str">
        <x:v>G2–G3</x:v>
      </x:c>
      <x:c r="G93" s="28" t="str">
        <x:v>ARC-05; AUT-06</x:v>
      </x:c>
      <x:c r="H93" s="28" t="str">
        <x:v>Open</x:v>
      </x:c>
      <x:c r="I93" s="28" t="str">
        <x:v>Build capability, club policy, runtime enablement and user authority agree; direct links/cached sessions cannot re-enable blocked operations.</x:v>
      </x:c>
      <x:c r="J93" s="28" t="str">
        <x:v>F19; F20; F23; F24; W14; W15</x:v>
      </x:c>
      <x:c r="K93" s="30" t="str"/>
      <x:c r="L93" s="32" t="str"/>
      <x:c r="M93" s="30" t="str"/>
      <x:c r="N93" s="28" t="str">
        <x:v>https://drive.google.com/file/d/17ycbTO5tfhGoKOFEnqrDMmIud2MmIQWJ/view</x:v>
      </x:c>
      <x:c r="O93" s="28" t="str">
        <x:v>All enabled release scope; defer only by explicit product exclusion</x:v>
      </x:c>
    </x:row>
    <x:row r="94" ht="98" customHeight="1">
      <x:c r="A94" s="28" t="str">
        <x:v>PRD-10</x:v>
      </x:c>
      <x:c r="B94" s="28" t="str">
        <x:v>Product, content and design</x:v>
      </x:c>
      <x:c r="C94" s="28" t="str">
        <x:v>P2</x:v>
      </x:c>
      <x:c r="D94" s="28" t="str">
        <x:v>Validate product analytics and club success measures</x:v>
      </x:c>
      <x:c r="E94" s="28" t="str">
        <x:v>Product/design lead</x:v>
      </x:c>
      <x:c r="F94" s="28" t="str">
        <x:v>G2–G3</x:v>
      </x:c>
      <x:c r="G94" s="28" t="str">
        <x:v>OPS-02; REG-02</x:v>
      </x:c>
      <x:c r="H94" s="28" t="str">
        <x:v>Open</x:v>
      </x:c>
      <x:c r="I94" s="28" t="str">
        <x:v>Privacy-approved events distinguish prepared checkout, dialer opened, evidence allocated and active member; no inflated conversion success.</x:v>
      </x:c>
      <x:c r="J94" s="28" t="str">
        <x:v>F19; F20; F23; F24; W14; W15</x:v>
      </x:c>
      <x:c r="K94" s="30" t="str"/>
      <x:c r="L94" s="32" t="str"/>
      <x:c r="M94" s="30" t="str"/>
      <x:c r="N94" s="28" t="str">
        <x:v>https://drive.google.com/file/d/17ycbTO5tfhGoKOFEnqrDMmIud2MmIQWJ/view</x:v>
      </x:c>
      <x:c r="O94" s="28" t="str">
        <x:v>All enabled release scope; defer only by explicit product exclusion</x:v>
      </x:c>
    </x:row>
    <x:row r="95" ht="98" customHeight="1">
      <x:c r="A95" s="28" t="str">
        <x:v>QAT-01</x:v>
      </x:c>
      <x:c r="B95" s="28" t="str">
        <x:v>Verification and assurance</x:v>
      </x:c>
      <x:c r="C95" s="28" t="str">
        <x:v>P0</x:v>
      </x:c>
      <x:c r="D95" s="28" t="str">
        <x:v>Bind release checks to immutable candidate artifacts</x:v>
      </x:c>
      <x:c r="E95" s="28" t="str">
        <x:v>QA/security verification lead</x:v>
      </x:c>
      <x:c r="F95" s="28" t="str">
        <x:v>G3</x:v>
      </x:c>
      <x:c r="G95" s="28" t="str">
        <x:v>REP-06; SEC-10</x:v>
      </x:c>
      <x:c r="H95" s="28" t="str">
        <x:v>Open</x:v>
      </x:c>
      <x:c r="I95" s="28" t="str">
        <x:v>Required job results, config hashes, signing provenance and source SHAs agree; deployments consume the checked artifact only.</x:v>
      </x:c>
      <x:c r="J95" s="28" t="str">
        <x:v>F06; F07; F15; F17; F20; W05; W06; W11; W12</x:v>
      </x:c>
      <x:c r="K95" s="30" t="str"/>
      <x:c r="L95" s="32" t="str"/>
      <x:c r="M95" s="30" t="str"/>
      <x:c r="N95" s="28" t="str">
        <x:v>https://drive.google.com/file/d/1vza_RNiaP7bOgavHdtYifYUk4uYBoOXM/view</x:v>
      </x:c>
      <x:c r="O95" s="28" t="str">
        <x:v>All enabled release scope; defer only by explicit product exclusion</x:v>
      </x:c>
    </x:row>
    <x:row r="96" ht="98" customHeight="1">
      <x:c r="A96" s="28" t="str">
        <x:v>QAT-02</x:v>
      </x:c>
      <x:c r="B96" s="28" t="str">
        <x:v>Verification and assurance</x:v>
      </x:c>
      <x:c r="C96" s="28" t="str">
        <x:v>P1</x:v>
      </x:c>
      <x:c r="D96" s="28" t="str">
        <x:v>Run complete pinned-toolchain workspace and web checks</x:v>
      </x:c>
      <x:c r="E96" s="28" t="str">
        <x:v>QA/security verification lead</x:v>
      </x:c>
      <x:c r="F96" s="28" t="str">
        <x:v>G3</x:v>
      </x:c>
      <x:c r="G96" s="28" t="str">
        <x:v>REP-07; REP-09</x:v>
      </x:c>
      <x:c r="H96" s="28" t="str">
        <x:v>Open</x:v>
      </x:c>
      <x:c r="I96" s="28" t="str">
        <x:v>Fresh checkout resolves locked dependencies; Flutter/Dart analysis/tests, Next typecheck/lint/build and asset checks all pass.</x:v>
      </x:c>
      <x:c r="J96" s="28" t="str">
        <x:v>F06; F07; F15; F17; F20; W05; W06; W11; W12</x:v>
      </x:c>
      <x:c r="K96" s="30" t="str"/>
      <x:c r="L96" s="32" t="str"/>
      <x:c r="M96" s="30" t="str"/>
      <x:c r="N96" s="28" t="str">
        <x:v>https://drive.google.com/file/d/1vza_RNiaP7bOgavHdtYifYUk4uYBoOXM/view</x:v>
      </x:c>
      <x:c r="O96" s="28" t="str">
        <x:v>All enabled release scope; defer only by explicit product exclusion</x:v>
      </x:c>
    </x:row>
    <x:row r="97" ht="98" customHeight="1">
      <x:c r="A97" s="28" t="str">
        <x:v>QAT-03</x:v>
      </x:c>
      <x:c r="B97" s="28" t="str">
        <x:v>Verification and assurance</x:v>
      </x:c>
      <x:c r="C97" s="28" t="str">
        <x:v>P1</x:v>
      </x:c>
      <x:c r="D97" s="28" t="str">
        <x:v>Run local replay plus real isolated D1/Workers contract tests</x:v>
      </x:c>
      <x:c r="E97" s="28" t="str">
        <x:v>QA/security verification lead</x:v>
      </x:c>
      <x:c r="F97" s="28" t="str">
        <x:v>G3</x:v>
      </x:c>
      <x:c r="G97" s="28" t="str">
        <x:v>ARC-02; WEB-05</x:v>
      </x:c>
      <x:c r="H97" s="28" t="str">
        <x:v>Open</x:v>
      </x:c>
      <x:c r="I97" s="28" t="str">
        <x:v>Migrations, triggers, RPC envelopes, Access context and service bindings validated in actual target runtime in addition to Node/SQLite.</x:v>
      </x:c>
      <x:c r="J97" s="28" t="str">
        <x:v>F06; F07; F15; F17; F20; W05; W06; W11; W12</x:v>
      </x:c>
      <x:c r="K97" s="30" t="str"/>
      <x:c r="L97" s="32" t="str"/>
      <x:c r="M97" s="30" t="str"/>
      <x:c r="N97" s="28" t="str">
        <x:v>https://drive.google.com/file/d/1vza_RNiaP7bOgavHdtYifYUk4uYBoOXM/view</x:v>
      </x:c>
      <x:c r="O97" s="28" t="str">
        <x:v>All enabled release scope; defer only by explicit product exclusion</x:v>
      </x:c>
    </x:row>
    <x:row r="98" ht="98" customHeight="1">
      <x:c r="A98" s="28" t="str">
        <x:v>QAT-04</x:v>
      </x:c>
      <x:c r="B98" s="28" t="str">
        <x:v>Verification and assurance</x:v>
      </x:c>
      <x:c r="C98" s="28" t="str">
        <x:v>P1</x:v>
      </x:c>
      <x:c r="D98" s="28" t="str">
        <x:v>Create positive and negative multi-tenant acceptance suite</x:v>
      </x:c>
      <x:c r="E98" s="28" t="str">
        <x:v>QA/security verification lead</x:v>
      </x:c>
      <x:c r="F98" s="28" t="str">
        <x:v>G3</x:v>
      </x:c>
      <x:c r="G98" s="28" t="str">
        <x:v>ARC-06; AUT-06</x:v>
      </x:c>
      <x:c r="H98" s="28" t="str">
        <x:v>Open</x:v>
      </x:c>
      <x:c r="I98" s="28" t="str">
        <x:v>Cross-club reads/writes/storage/realtime/cache/exports/deep links denied; legitimate five-club journeys preserved.</x:v>
      </x:c>
      <x:c r="J98" s="28" t="str">
        <x:v>F06; F07; F15; F17; F20; W05; W06; W11; W12</x:v>
      </x:c>
      <x:c r="K98" s="30" t="str"/>
      <x:c r="L98" s="32" t="str"/>
      <x:c r="M98" s="30" t="str"/>
      <x:c r="N98" s="28" t="str">
        <x:v>https://drive.google.com/file/d/1vza_RNiaP7bOgavHdtYifYUk4uYBoOXM/view</x:v>
      </x:c>
      <x:c r="O98" s="28" t="str">
        <x:v>All enabled release scope; defer only by explicit product exclusion</x:v>
      </x:c>
    </x:row>
    <x:row r="99" ht="98" customHeight="1">
      <x:c r="A99" s="28" t="str">
        <x:v>QAT-05</x:v>
      </x:c>
      <x:c r="B99" s="28" t="str">
        <x:v>Verification and assurance</x:v>
      </x:c>
      <x:c r="C99" s="28" t="str">
        <x:v>P1</x:v>
      </x:c>
      <x:c r="D99" s="28" t="str">
        <x:v>Commission independent API/web/mobile security verification</x:v>
      </x:c>
      <x:c r="E99" s="28" t="str">
        <x:v>QA/security verification lead</x:v>
      </x:c>
      <x:c r="F99" s="28" t="str">
        <x:v>G3</x:v>
      </x:c>
      <x:c r="G99" s="28" t="str">
        <x:v>SEC-07; QAT-03; MOB-04</x:v>
      </x:c>
      <x:c r="H99" s="28" t="str">
        <x:v>Open</x:v>
      </x:c>
      <x:c r="I99" s="28" t="str">
        <x:v>Versioned ASVS/MASVS scope, threat model and findings register; no unresolved critical/high exploitable issues in enabled release scope.</x:v>
      </x:c>
      <x:c r="J99" s="28" t="str">
        <x:v>F06; F07; F15; F17; F20; W05; W06; W11; W12</x:v>
      </x:c>
      <x:c r="K99" s="30" t="str"/>
      <x:c r="L99" s="32" t="str"/>
      <x:c r="M99" s="30" t="str"/>
      <x:c r="N99" s="28" t="str">
        <x:v>https://drive.google.com/file/d/1vza_RNiaP7bOgavHdtYifYUk4uYBoOXM/view</x:v>
      </x:c>
      <x:c r="O99" s="28" t="str">
        <x:v>All enabled release scope; defer only by explicit product exclusion</x:v>
      </x:c>
    </x:row>
    <x:row r="100" ht="98" customHeight="1">
      <x:c r="A100" s="28" t="str">
        <x:v>QAT-06</x:v>
      </x:c>
      <x:c r="B100" s="28" t="str">
        <x:v>Verification and assurance</x:v>
      </x:c>
      <x:c r="C100" s="28" t="str">
        <x:v>P1</x:v>
      </x:c>
      <x:c r="D100" s="28" t="str">
        <x:v>Test financial concurrency and failure recovery on actual target</x:v>
      </x:c>
      <x:c r="E100" s="28" t="str">
        <x:v>QA/security verification lead</x:v>
      </x:c>
      <x:c r="F100" s="28" t="str">
        <x:v>G3</x:v>
      </x:c>
      <x:c r="G100" s="28" t="str">
        <x:v>PAY-10; QAT-03</x:v>
      </x:c>
      <x:c r="H100" s="28" t="str">
        <x:v>Open</x:v>
      </x:c>
      <x:c r="I100" s="28" t="str">
        <x:v>Callback duplication, competing stock, cutoff waits, crashes, retries and reversals preserve approved invariants and immutable history.</x:v>
      </x:c>
      <x:c r="J100" s="28" t="str">
        <x:v>F06; F07; F15; F17; F20; W05; W06; W11; W12</x:v>
      </x:c>
      <x:c r="K100" s="30" t="str"/>
      <x:c r="L100" s="32" t="str"/>
      <x:c r="M100" s="30" t="str"/>
      <x:c r="N100" s="28" t="str">
        <x:v>https://drive.google.com/file/d/1vza_RNiaP7bOgavHdtYifYUk4uYBoOXM/view</x:v>
      </x:c>
      <x:c r="O100" s="28" t="str">
        <x:v>All enabled release scope; defer only by explicit product exclusion</x:v>
      </x:c>
    </x:row>
    <x:row r="101" ht="98" customHeight="1">
      <x:c r="A101" s="28" t="str">
        <x:v>QAT-07</x:v>
      </x:c>
      <x:c r="B101" s="28" t="str">
        <x:v>Verification and assurance</x:v>
      </x:c>
      <x:c r="C101" s="28" t="str">
        <x:v>P1</x:v>
      </x:c>
      <x:c r="D101" s="28" t="str">
        <x:v>Run dependency, SBOM, license and supply-chain review</x:v>
      </x:c>
      <x:c r="E101" s="28" t="str">
        <x:v>QA/security verification lead</x:v>
      </x:c>
      <x:c r="F101" s="28" t="str">
        <x:v>G3</x:v>
      </x:c>
      <x:c r="G101" s="28" t="str">
        <x:v>REP-09; SEC-10</x:v>
      </x:c>
      <x:c r="H101" s="28" t="str">
        <x:v>Open</x:v>
      </x:c>
      <x:c r="I101" s="28" t="str">
        <x:v>Current advisories checked on exact lockfiles and artifacts; reachable vulnerabilities and licenses have approved disposition.</x:v>
      </x:c>
      <x:c r="J101" s="28" t="str">
        <x:v>F06; F07; F15; F17; F20; W05; W06; W11; W12</x:v>
      </x:c>
      <x:c r="K101" s="30" t="str"/>
      <x:c r="L101" s="32" t="str"/>
      <x:c r="M101" s="30" t="str"/>
      <x:c r="N101" s="28" t="str">
        <x:v>https://drive.google.com/file/d/1vza_RNiaP7bOgavHdtYifYUk4uYBoOXM/view</x:v>
      </x:c>
      <x:c r="O101" s="28" t="str">
        <x:v>All enabled release scope; defer only by explicit product exclusion</x:v>
      </x:c>
    </x:row>
    <x:row r="102" ht="98" customHeight="1">
      <x:c r="A102" s="28" t="str">
        <x:v>QAT-08</x:v>
      </x:c>
      <x:c r="B102" s="28" t="str">
        <x:v>Verification and assurance</x:v>
      </x:c>
      <x:c r="C102" s="28" t="str">
        <x:v>P1</x:v>
      </x:c>
      <x:c r="D102" s="28" t="str">
        <x:v>Execute native/browser accessibility and visual acceptance</x:v>
      </x:c>
      <x:c r="E102" s="28" t="str">
        <x:v>QA/security verification lead</x:v>
      </x:c>
      <x:c r="F102" s="28" t="str">
        <x:v>G3</x:v>
      </x:c>
      <x:c r="G102" s="28" t="str">
        <x:v>PRD-05; MOB-05; WEB-10</x:v>
      </x:c>
      <x:c r="H102" s="28" t="str">
        <x:v>Open</x:v>
      </x:c>
      <x:c r="I102" s="28" t="str">
        <x:v>TalkBack/VoiceOver/keyboard/large text/reduced motion/contrast pass; exact current screenshots and design sign-off recorded.</x:v>
      </x:c>
      <x:c r="J102" s="28" t="str">
        <x:v>F06; F07; F15; F17; F20; W05; W06; W11; W12</x:v>
      </x:c>
      <x:c r="K102" s="30" t="str"/>
      <x:c r="L102" s="32" t="str"/>
      <x:c r="M102" s="30" t="str"/>
      <x:c r="N102" s="28" t="str">
        <x:v>https://drive.google.com/file/d/1vza_RNiaP7bOgavHdtYifYUk4uYBoOXM/view</x:v>
      </x:c>
      <x:c r="O102" s="28" t="str">
        <x:v>All enabled release scope; defer only by explicit product exclusion</x:v>
      </x:c>
    </x:row>
    <x:row r="103" ht="98" customHeight="1">
      <x:c r="A103" s="28" t="str">
        <x:v>QAT-09</x:v>
      </x:c>
      <x:c r="B103" s="28" t="str">
        <x:v>Verification and assurance</x:v>
      </x:c>
      <x:c r="C103" s="28" t="str">
        <x:v>P1</x:v>
      </x:c>
      <x:c r="D103" s="28" t="str">
        <x:v>Run game-day load, degraded-provider and recovery drills</x:v>
      </x:c>
      <x:c r="E103" s="28" t="str">
        <x:v>QA/security verification lead</x:v>
      </x:c>
      <x:c r="F103" s="28" t="str">
        <x:v>G3</x:v>
      </x:c>
      <x:c r="G103" s="28" t="str">
        <x:v>ARC-10; OPS-06; PAY-09</x:v>
      </x:c>
      <x:c r="H103" s="28" t="str">
        <x:v>Open</x:v>
      </x:c>
      <x:c r="I103" s="28" t="str">
        <x:v>Measured latency, saturation, queue delay, failover and restoration meet approved SLOs; no financial duplicate effects.</x:v>
      </x:c>
      <x:c r="J103" s="28" t="str">
        <x:v>F06; F07; F15; F17; F20; W05; W06; W11; W12</x:v>
      </x:c>
      <x:c r="K103" s="30" t="str"/>
      <x:c r="L103" s="32" t="str"/>
      <x:c r="M103" s="30" t="str"/>
      <x:c r="N103" s="28" t="str">
        <x:v>https://drive.google.com/file/d/1vza_RNiaP7bOgavHdtYifYUk4uYBoOXM/view</x:v>
      </x:c>
      <x:c r="O103" s="28" t="str">
        <x:v>All enabled release scope; defer only by explicit product exclusion</x:v>
      </x:c>
    </x:row>
    <x:row r="104" ht="98" customHeight="1">
      <x:c r="A104" s="28" t="str">
        <x:v>QAT-10</x:v>
      </x:c>
      <x:c r="B104" s="28" t="str">
        <x:v>Verification and assurance</x:v>
      </x:c>
      <x:c r="C104" s="28" t="str">
        <x:v>P1</x:v>
      </x:c>
      <x:c r="D104" s="28" t="str">
        <x:v>Publish per-surface and per-club go/no-go dossier</x:v>
      </x:c>
      <x:c r="E104" s="28" t="str">
        <x:v>QA/security verification lead</x:v>
      </x:c>
      <x:c r="F104" s="28" t="str">
        <x:v>G3</x:v>
      </x:c>
      <x:c r="G104" s="28" t="str">
        <x:v>QAT-01; QAT-02; QAT-04; QAT-05; QAT-06; QAT-07; QAT-08; QAT-09</x:v>
      </x:c>
      <x:c r="H104" s="28" t="str">
        <x:v>Open</x:v>
      </x:c>
      <x:c r="I104" s="28" t="str">
        <x:v>Evidence matrix states passed/failed/blocked/not-applicable with owners; no cumulative test-count or archive-presence substitute.</x:v>
      </x:c>
      <x:c r="J104" s="28" t="str">
        <x:v>F06; F07; F15; F17; F20; W05; W06; W11; W12</x:v>
      </x:c>
      <x:c r="K104" s="30" t="str"/>
      <x:c r="L104" s="32" t="str"/>
      <x:c r="M104" s="30" t="str"/>
      <x:c r="N104" s="28" t="str">
        <x:v>https://drive.google.com/file/d/1vza_RNiaP7bOgavHdtYifYUk4uYBoOXM/view</x:v>
      </x:c>
      <x:c r="O104" s="28" t="str">
        <x:v>All enabled release scope; defer only by explicit product exclusion</x:v>
      </x:c>
    </x:row>
    <x:row r="105" ht="98" customHeight="1">
      <x:c r="A105" s="28" t="str">
        <x:v>OPS-01</x:v>
      </x:c>
      <x:c r="B105" s="28" t="str">
        <x:v>Operations and resilience</x:v>
      </x:c>
      <x:c r="C105" s="28" t="str">
        <x:v>P1</x:v>
      </x:c>
      <x:c r="D105" s="28" t="str">
        <x:v>Approve traffic, latency, availability and cost budgets</x:v>
      </x:c>
      <x:c r="E105" s="28" t="str">
        <x:v>SRE/operations lead</x:v>
      </x:c>
      <x:c r="F105" s="28" t="str">
        <x:v>G3</x:v>
      </x:c>
      <x:c r="G105" s="28" t="str">
        <x:v>REP-01</x:v>
      </x:c>
      <x:c r="H105" s="28" t="str">
        <x:v>Open</x:v>
      </x:c>
      <x:c r="I105" s="28" t="str">
        <x:v>Game-day assumptions and business thresholds signed off; latency percentiles and financial-integrity targets defined per journey.</x:v>
      </x:c>
      <x:c r="J105" s="28" t="str">
        <x:v>F09; F14; F22; W02; W07; W09</x:v>
      </x:c>
      <x:c r="K105" s="30" t="str"/>
      <x:c r="L105" s="32" t="str"/>
      <x:c r="M105" s="30" t="str"/>
      <x:c r="N105" s="28" t="str">
        <x:v>https://drive.google.com/file/d/1nZBkMaq85TVbCtagt109zHTRYm3Q1K7Y/view</x:v>
      </x:c>
      <x:c r="O105" s="28" t="str">
        <x:v>All enabled release scope; defer only by explicit product exclusion</x:v>
      </x:c>
    </x:row>
    <x:row r="106" ht="98" customHeight="1">
      <x:c r="A106" s="28" t="str">
        <x:v>OPS-02</x:v>
      </x:c>
      <x:c r="B106" s="28" t="str">
        <x:v>Operations and resilience</x:v>
      </x:c>
      <x:c r="C106" s="28" t="str">
        <x:v>P1</x:v>
      </x:c>
      <x:c r="D106" s="28" t="str">
        <x:v>Implement privacy-safe structured metrics and tracing</x:v>
      </x:c>
      <x:c r="E106" s="28" t="str">
        <x:v>SRE/operations lead</x:v>
      </x:c>
      <x:c r="F106" s="28" t="str">
        <x:v>G3</x:v>
      </x:c>
      <x:c r="G106" s="28" t="str">
        <x:v>SEC-08; OPS-01</x:v>
      </x:c>
      <x:c r="H106" s="28" t="str">
        <x:v>Open</x:v>
      </x:c>
      <x:c r="I106" s="28" t="str">
        <x:v>Correlation IDs link requests/operations without secrets; OTP failures, allocation lag, unknown outcomes and tenant fairness visible.</x:v>
      </x:c>
      <x:c r="J106" s="28" t="str">
        <x:v>F09; F14; F22; W02; W07; W09</x:v>
      </x:c>
      <x:c r="K106" s="30" t="str"/>
      <x:c r="L106" s="32" t="str"/>
      <x:c r="M106" s="30" t="str"/>
      <x:c r="N106" s="28" t="str">
        <x:v>https://drive.google.com/file/d/1nZBkMaq85TVbCtagt109zHTRYm3Q1K7Y/view</x:v>
      </x:c>
      <x:c r="O106" s="28" t="str">
        <x:v>All enabled release scope; defer only by explicit product exclusion</x:v>
      </x:c>
    </x:row>
    <x:row r="107" ht="98" customHeight="1">
      <x:c r="A107" s="28" t="str">
        <x:v>OPS-03</x:v>
      </x:c>
      <x:c r="B107" s="28" t="str">
        <x:v>Operations and resilience</x:v>
      </x:c>
      <x:c r="C107" s="28" t="str">
        <x:v>P1</x:v>
      </x:c>
      <x:c r="D107" s="28" t="str">
        <x:v>Configure actionable alerts and human escalation</x:v>
      </x:c>
      <x:c r="E107" s="28" t="str">
        <x:v>SRE/operations lead</x:v>
      </x:c>
      <x:c r="F107" s="28" t="str">
        <x:v>G3</x:v>
      </x:c>
      <x:c r="G107" s="28" t="str">
        <x:v>OPS-02</x:v>
      </x:c>
      <x:c r="H107" s="28" t="str">
        <x:v>Open</x:v>
      </x:c>
      <x:c r="I107" s="28" t="str">
        <x:v>Test alerts for overdue reconciliation, stale snapshots, auth/provider failures, high error rate, duplicate anomalies and storage limits.</x:v>
      </x:c>
      <x:c r="J107" s="28" t="str">
        <x:v>F09; F14; F22; W02; W07; W09</x:v>
      </x:c>
      <x:c r="K107" s="30" t="str"/>
      <x:c r="L107" s="32" t="str"/>
      <x:c r="M107" s="30" t="str"/>
      <x:c r="N107" s="28" t="str">
        <x:v>https://drive.google.com/file/d/1nZBkMaq85TVbCtagt109zHTRYm3Q1K7Y/view</x:v>
      </x:c>
      <x:c r="O107" s="28" t="str">
        <x:v>All enabled release scope; defer only by explicit product exclusion</x:v>
      </x:c>
    </x:row>
    <x:row r="108" ht="98" customHeight="1">
      <x:c r="A108" s="28" t="str">
        <x:v>OPS-04</x:v>
      </x:c>
      <x:c r="B108" s="28" t="str">
        <x:v>Operations and resilience</x:v>
      </x:c>
      <x:c r="C108" s="28" t="str">
        <x:v>P1</x:v>
      </x:c>
      <x:c r="D108" s="28" t="str">
        <x:v>Implement queue retry, poison-event and DLQ operating policy</x:v>
      </x:c>
      <x:c r="E108" s="28" t="str">
        <x:v>SRE/operations lead</x:v>
      </x:c>
      <x:c r="F108" s="28" t="str">
        <x:v>G3</x:v>
      </x:c>
      <x:c r="G108" s="28" t="str">
        <x:v>ARC-09</x:v>
      </x:c>
      <x:c r="H108" s="28" t="str">
        <x:v>Open</x:v>
      </x:c>
      <x:c r="I108" s="28" t="str">
        <x:v>Idempotent consumers, bounded retry/backoff, retention and approved re-drive paths tested with traceable owners.</x:v>
      </x:c>
      <x:c r="J108" s="28" t="str">
        <x:v>F09; F14; F22; W02; W07; W09</x:v>
      </x:c>
      <x:c r="K108" s="30" t="str"/>
      <x:c r="L108" s="32" t="str"/>
      <x:c r="M108" s="30" t="str"/>
      <x:c r="N108" s="28" t="str">
        <x:v>https://drive.google.com/file/d/1nZBkMaq85TVbCtagt109zHTRYm3Q1K7Y/view</x:v>
      </x:c>
      <x:c r="O108" s="28" t="str">
        <x:v>All enabled release scope; defer only by explicit product exclusion</x:v>
      </x:c>
    </x:row>
    <x:row r="109" ht="98" customHeight="1">
      <x:c r="A109" s="28" t="str">
        <x:v>OPS-05</x:v>
      </x:c>
      <x:c r="B109" s="28" t="str">
        <x:v>Operations and resilience</x:v>
      </x:c>
      <x:c r="C109" s="28" t="str">
        <x:v>P1</x:v>
      </x:c>
      <x:c r="D109" s="28" t="str">
        <x:v>Create incident and financial exception runbooks</x:v>
      </x:c>
      <x:c r="E109" s="28" t="str">
        <x:v>SRE/operations lead</x:v>
      </x:c>
      <x:c r="F109" s="28" t="str">
        <x:v>G3</x:v>
      </x:c>
      <x:c r="G109" s="28" t="str">
        <x:v>PAY-02; PAY-03; OPS-03</x:v>
      </x:c>
      <x:c r="H109" s="28" t="str">
        <x:v>Open</x:v>
      </x:c>
      <x:c r="I109" s="28" t="str">
        <x:v>Named responders can contain, diagnose and recover without deleting ledgers or guessing payment failure.</x:v>
      </x:c>
      <x:c r="J109" s="28" t="str">
        <x:v>F09; F14; F22; W02; W07; W09</x:v>
      </x:c>
      <x:c r="K109" s="30" t="str"/>
      <x:c r="L109" s="32" t="str"/>
      <x:c r="M109" s="30" t="str"/>
      <x:c r="N109" s="28" t="str">
        <x:v>https://drive.google.com/file/d/1nZBkMaq85TVbCtagt109zHTRYm3Q1K7Y/view</x:v>
      </x:c>
      <x:c r="O109" s="28" t="str">
        <x:v>All enabled release scope; defer only by explicit product exclusion</x:v>
      </x:c>
    </x:row>
    <x:row r="110" ht="98" customHeight="1">
      <x:c r="A110" s="28" t="str">
        <x:v>OPS-06</x:v>
      </x:c>
      <x:c r="B110" s="28" t="str">
        <x:v>Operations and resilience</x:v>
      </x:c>
      <x:c r="C110" s="28" t="str">
        <x:v>P1</x:v>
      </x:c>
      <x:c r="D110" s="28" t="str">
        <x:v>Approve RPO/RTO and prove restore procedures</x:v>
      </x:c>
      <x:c r="E110" s="28" t="str">
        <x:v>SRE/operations lead</x:v>
      </x:c>
      <x:c r="F110" s="28" t="str">
        <x:v>G3</x:v>
      </x:c>
      <x:c r="G110" s="28" t="str">
        <x:v>DAT-09; OPS-01</x:v>
      </x:c>
      <x:c r="H110" s="28" t="str">
        <x:v>Open</x:v>
      </x:c>
      <x:c r="I110" s="28" t="str">
        <x:v>Database/object/config/key dependencies restored within measured targets; no reliance on Time Travel as complete object backup.</x:v>
      </x:c>
      <x:c r="J110" s="28" t="str">
        <x:v>F09; F14; F22; W02; W07; W09</x:v>
      </x:c>
      <x:c r="K110" s="30" t="str"/>
      <x:c r="L110" s="32" t="str"/>
      <x:c r="M110" s="30" t="str"/>
      <x:c r="N110" s="28" t="str">
        <x:v>https://drive.google.com/file/d/1nZBkMaq85TVbCtagt109zHTRYm3Q1K7Y/view</x:v>
      </x:c>
      <x:c r="O110" s="28" t="str">
        <x:v>All enabled release scope; defer only by explicit product exclusion</x:v>
      </x:c>
    </x:row>
    <x:row r="111" ht="98" customHeight="1">
      <x:c r="A111" s="28" t="str">
        <x:v>OPS-07</x:v>
      </x:c>
      <x:c r="B111" s="28" t="str">
        <x:v>Operations and resilience</x:v>
      </x:c>
      <x:c r="C111" s="28" t="str">
        <x:v>P1</x:v>
      </x:c>
      <x:c r="D111" s="28" t="str">
        <x:v>Establish approved retention, export and erasure jobs</x:v>
      </x:c>
      <x:c r="E111" s="28" t="str">
        <x:v>SRE/operations lead</x:v>
      </x:c>
      <x:c r="F111" s="28" t="str">
        <x:v>G3</x:v>
      </x:c>
      <x:c r="G111" s="28" t="str">
        <x:v>REG-02; AUT-07</x:v>
      </x:c>
      <x:c r="H111" s="28" t="str">
        <x:v>Open</x:v>
      </x:c>
      <x:c r="I111" s="28" t="str">
        <x:v>Legal schedules applied to operational data, encrypted secrets, logs, exports and backups; deletion failures observable.</x:v>
      </x:c>
      <x:c r="J111" s="28" t="str">
        <x:v>F09; F14; F22; W02; W07; W09</x:v>
      </x:c>
      <x:c r="K111" s="30" t="str"/>
      <x:c r="L111" s="32" t="str"/>
      <x:c r="M111" s="30" t="str"/>
      <x:c r="N111" s="28" t="str">
        <x:v>https://drive.google.com/file/d/1nZBkMaq85TVbCtagt109zHTRYm3Q1K7Y/view</x:v>
      </x:c>
      <x:c r="O111" s="28" t="str">
        <x:v>All enabled release scope; defer only by explicit product exclusion</x:v>
      </x:c>
    </x:row>
    <x:row r="112" ht="98" customHeight="1">
      <x:c r="A112" s="28" t="str">
        <x:v>OPS-08</x:v>
      </x:c>
      <x:c r="B112" s="28" t="str">
        <x:v>Operations and resilience</x:v>
      </x:c>
      <x:c r="C112" s="28" t="str">
        <x:v>P1</x:v>
      </x:c>
      <x:c r="D112" s="28" t="str">
        <x:v>Implement authoritative scheduling and notification routing</x:v>
      </x:c>
      <x:c r="E112" s="28" t="str">
        <x:v>SRE/operations lead</x:v>
      </x:c>
      <x:c r="F112" s="28" t="str">
        <x:v>G3</x:v>
      </x:c>
      <x:c r="G112" s="28" t="str">
        <x:v>DAT-02; PAY-09</x:v>
      </x:c>
      <x:c r="H112" s="28" t="str">
        <x:v>Open</x:v>
      </x:c>
      <x:c r="I112" s="28" t="str">
        <x:v>One active owner per cron; timezone, missed-run catch-up, duplicates, tenant push tokens and provider receipts tested.</x:v>
      </x:c>
      <x:c r="J112" s="28" t="str">
        <x:v>F09; F14; F22; W02; W07; W09</x:v>
      </x:c>
      <x:c r="K112" s="30" t="str"/>
      <x:c r="L112" s="32" t="str"/>
      <x:c r="M112" s="30" t="str"/>
      <x:c r="N112" s="28" t="str">
        <x:v>https://drive.google.com/file/d/1nZBkMaq85TVbCtagt109zHTRYm3Q1K7Y/view</x:v>
      </x:c>
      <x:c r="O112" s="28" t="str">
        <x:v>All enabled release scope; defer only by explicit product exclusion</x:v>
      </x:c>
    </x:row>
    <x:row r="113" ht="98" customHeight="1">
      <x:c r="A113" s="28" t="str">
        <x:v>OPS-09</x:v>
      </x:c>
      <x:c r="B113" s="28" t="str">
        <x:v>Operations and resilience</x:v>
      </x:c>
      <x:c r="C113" s="28" t="str">
        <x:v>P1</x:v>
      </x:c>
      <x:c r="D113" s="28" t="str">
        <x:v>Budget and monitor cloud/provider/support unit costs</x:v>
      </x:c>
      <x:c r="E113" s="28" t="str">
        <x:v>SRE/operations lead</x:v>
      </x:c>
      <x:c r="F113" s="28" t="str">
        <x:v>G3</x:v>
      </x:c>
      <x:c r="G113" s="28" t="str">
        <x:v>ARC-10; OPS-02</x:v>
      </x:c>
      <x:c r="H113" s="28" t="str">
        <x:v>Open</x:v>
      </x:c>
      <x:c r="I113" s="28" t="str">
        <x:v>Cost model includes D1 reads/writes, R2, Workers, messages, logs and human exception handling; alerts tested at agreed limits.</x:v>
      </x:c>
      <x:c r="J113" s="28" t="str">
        <x:v>F09; F14; F22; W02; W07; W09</x:v>
      </x:c>
      <x:c r="K113" s="30" t="str"/>
      <x:c r="L113" s="32" t="str"/>
      <x:c r="M113" s="30" t="str"/>
      <x:c r="N113" s="28" t="str">
        <x:v>https://drive.google.com/file/d/1nZBkMaq85TVbCtagt109zHTRYm3Q1K7Y/view</x:v>
      </x:c>
      <x:c r="O113" s="28" t="str">
        <x:v>All enabled release scope; defer only by explicit product exclusion</x:v>
      </x:c>
    </x:row>
    <x:row r="114" ht="98" customHeight="1">
      <x:c r="A114" s="28" t="str">
        <x:v>OPS-10</x:v>
      </x:c>
      <x:c r="B114" s="28" t="str">
        <x:v>Operations and resilience</x:v>
      </x:c>
      <x:c r="C114" s="28" t="str">
        <x:v>P1</x:v>
      </x:c>
      <x:c r="D114" s="28" t="str">
        <x:v>Complete operator training and support rehearsal</x:v>
      </x:c>
      <x:c r="E114" s="28" t="str">
        <x:v>SRE/operations lead</x:v>
      </x:c>
      <x:c r="F114" s="28" t="str">
        <x:v>G3</x:v>
      </x:c>
      <x:c r="G114" s="28" t="str">
        <x:v>WEB-06; PAY-02; PAY-03; OPS-05</x:v>
      </x:c>
      <x:c r="H114" s="28" t="str">
        <x:v>Open</x:v>
      </x:c>
      <x:c r="I114" s="28" t="str">
        <x:v>Named club staff resolve login, renewal, refunds, ticket scans and uncertain payments using approved controls and escalation.</x:v>
      </x:c>
      <x:c r="J114" s="28" t="str">
        <x:v>F09; F14; F22; W02; W07; W09</x:v>
      </x:c>
      <x:c r="K114" s="30" t="str"/>
      <x:c r="L114" s="32" t="str"/>
      <x:c r="M114" s="30" t="str"/>
      <x:c r="N114" s="28" t="str">
        <x:v>https://drive.google.com/file/d/1nZBkMaq85TVbCtagt109zHTRYm3Q1K7Y/view</x:v>
      </x:c>
      <x:c r="O114" s="28" t="str">
        <x:v>All enabled release scope; defer only by explicit product exclusion</x:v>
      </x:c>
    </x:row>
    <x:row r="115" ht="98" customHeight="1">
      <x:c r="A115" s="28" t="str">
        <x:v>REG-01</x:v>
      </x:c>
      <x:c r="B115" s="28" t="str">
        <x:v>Legal, privacy and club approvals</x:v>
      </x:c>
      <x:c r="C115" s="28" t="str">
        <x:v>P0</x:v>
      </x:c>
      <x:c r="D115" s="28" t="str">
        <x:v>Map Rwanda storage/transfer obligations to actual architecture</x:v>
      </x:c>
      <x:c r="E115" s="28" t="str">
        <x:v>Privacy/legal lead</x:v>
      </x:c>
      <x:c r="F115" s="28" t="str">
        <x:v>G0–G3</x:v>
      </x:c>
      <x:c r="G115" s="28" t="str">
        <x:v>SEC-03</x:v>
      </x:c>
      <x:c r="H115" s="28" t="str">
        <x:v>Open</x:v>
      </x:c>
      <x:c r="I115" s="28" t="str">
        <x:v>Controller/processor roles, applicable registrations and valid foreign-storage authorization evidenced for DB/replicas/logs/backups/processors.</x:v>
      </x:c>
      <x:c r="J115" s="28" t="str">
        <x:v>F16; F19; F23; W15; W16; W17; W18; W19; W20; W21</x:v>
      </x:c>
      <x:c r="K115" s="30" t="str"/>
      <x:c r="L115" s="32" t="str"/>
      <x:c r="M115" s="30" t="str"/>
      <x:c r="N115" s="28" t="str">
        <x:v>https://drive.google.com/file/d/1nZBkMaq85TVbCtagt109zHTRYm3Q1K7Y/view</x:v>
      </x:c>
      <x:c r="O115" s="28" t="str">
        <x:v>All enabled release scope; defer only by explicit product exclusion</x:v>
      </x:c>
    </x:row>
    <x:row r="116" ht="98" customHeight="1">
      <x:c r="A116" s="28" t="str">
        <x:v>REG-02</x:v>
      </x:c>
      <x:c r="B116" s="28" t="str">
        <x:v>Legal, privacy and club approvals</x:v>
      </x:c>
      <x:c r="C116" s="28" t="str">
        <x:v>P1</x:v>
      </x:c>
      <x:c r="D116" s="28" t="str">
        <x:v>Approve data map, notices, lawful grounds and retention</x:v>
      </x:c>
      <x:c r="E116" s="28" t="str">
        <x:v>Privacy/legal lead</x:v>
      </x:c>
      <x:c r="F116" s="28" t="str">
        <x:v>G0–G3</x:v>
      </x:c>
      <x:c r="G116" s="28" t="str">
        <x:v>REG-01</x:v>
      </x:c>
      <x:c r="H116" s="28" t="str">
        <x:v>Open</x:v>
      </x:c>
      <x:c r="I116" s="28" t="str">
        <x:v>Personal-data processing inventory and processor contracts cover consent, rights, children, access requests, erasure and breach response.</x:v>
      </x:c>
      <x:c r="J116" s="28" t="str">
        <x:v>F16; F19; F23; W15; W16; W17; W18; W19; W20; W21</x:v>
      </x:c>
      <x:c r="K116" s="30" t="str"/>
      <x:c r="L116" s="32" t="str"/>
      <x:c r="M116" s="30" t="str"/>
      <x:c r="N116" s="28" t="str">
        <x:v>https://drive.google.com/file/d/1nZBkMaq85TVbCtagt109zHTRYm3Q1K7Y/view</x:v>
      </x:c>
      <x:c r="O116" s="28" t="str">
        <x:v>All enabled release scope; defer only by explicit product exclusion</x:v>
      </x:c>
    </x:row>
    <x:row r="117" ht="98" customHeight="1">
      <x:c r="A117" s="28" t="str">
        <x:v>REG-03</x:v>
      </x:c>
      <x:c r="B117" s="28" t="str">
        <x:v>Legal, privacy and club approvals</x:v>
      </x:c>
      <x:c r="C117" s="28" t="str">
        <x:v>P1</x:v>
      </x:c>
      <x:c r="D117" s="28" t="str">
        <x:v>Complete Burundi legal and payment launch assessment</x:v>
      </x:c>
      <x:c r="E117" s="28" t="str">
        <x:v>Privacy/legal lead</x:v>
      </x:c>
      <x:c r="F117" s="28" t="str">
        <x:v>G0–G3</x:v>
      </x:c>
      <x:c r="G117" s="28" t="str">
        <x:v>REG-02; PRD-01</x:v>
      </x:c>
      <x:c r="H117" s="28" t="str">
        <x:v>Open</x:v>
      </x:c>
      <x:c r="I117" s="28" t="str">
        <x:v>Qualified local assessment documents privacy/transfers, consumer terms, payment model and contest/age requirements or scope restrictions.</x:v>
      </x:c>
      <x:c r="J117" s="28" t="str">
        <x:v>F16; F19; F23; W15; W16; W17; W18; W19; W20; W21</x:v>
      </x:c>
      <x:c r="K117" s="30" t="str"/>
      <x:c r="L117" s="32" t="str"/>
      <x:c r="M117" s="30" t="str"/>
      <x:c r="N117" s="28" t="str">
        <x:v>https://drive.google.com/file/d/1nZBkMaq85TVbCtagt109zHTRYm3Q1K7Y/view</x:v>
      </x:c>
      <x:c r="O117" s="28" t="str">
        <x:v>All enabled release scope; defer only by explicit product exclusion</x:v>
      </x:c>
    </x:row>
    <x:row r="118" ht="98" customHeight="1">
      <x:c r="A118" s="28" t="str">
        <x:v>REG-04</x:v>
      </x:c>
      <x:c r="B118" s="28" t="str">
        <x:v>Legal, privacy and club approvals</x:v>
      </x:c>
      <x:c r="C118" s="28" t="str">
        <x:v>P1</x:v>
      </x:c>
      <x:c r="D118" s="28" t="str">
        <x:v>Complete DR Congo legal and payment launch assessment</x:v>
      </x:c>
      <x:c r="E118" s="28" t="str">
        <x:v>Privacy/legal lead</x:v>
      </x:c>
      <x:c r="F118" s="28" t="str">
        <x:v>G0–G3</x:v>
      </x:c>
      <x:c r="G118" s="28" t="str">
        <x:v>REG-02; PRD-01</x:v>
      </x:c>
      <x:c r="H118" s="28" t="str">
        <x:v>Open</x:v>
      </x:c>
      <x:c r="I118" s="28" t="str">
        <x:v>Qualified local assessment documents privacy/transfers, consumer terms, payment model and contest/age requirements or scope restrictions.</x:v>
      </x:c>
      <x:c r="J118" s="28" t="str">
        <x:v>F16; F19; F23; W15; W16; W17; W18; W19; W20; W21</x:v>
      </x:c>
      <x:c r="K118" s="30" t="str"/>
      <x:c r="L118" s="32" t="str"/>
      <x:c r="M118" s="30" t="str"/>
      <x:c r="N118" s="28" t="str">
        <x:v>https://drive.google.com/file/d/1nZBkMaq85TVbCtagt109zHTRYm3Q1K7Y/view</x:v>
      </x:c>
      <x:c r="O118" s="28" t="str">
        <x:v>All enabled release scope; defer only by explicit product exclusion</x:v>
      </x:c>
    </x:row>
    <x:row r="119" ht="98" customHeight="1">
      <x:c r="A119" s="28" t="str">
        <x:v>REG-05</x:v>
      </x:c>
      <x:c r="B119" s="28" t="str">
        <x:v>Legal, privacy and club approvals</x:v>
      </x:c>
      <x:c r="C119" s="28" t="str">
        <x:v>P1</x:v>
      </x:c>
      <x:c r="D119" s="28" t="str">
        <x:v>Complete Zambia legal and payment launch assessment</x:v>
      </x:c>
      <x:c r="E119" s="28" t="str">
        <x:v>Privacy/legal lead</x:v>
      </x:c>
      <x:c r="F119" s="28" t="str">
        <x:v>G0–G3</x:v>
      </x:c>
      <x:c r="G119" s="28" t="str">
        <x:v>REG-02; PRD-01</x:v>
      </x:c>
      <x:c r="H119" s="28" t="str">
        <x:v>Open</x:v>
      </x:c>
      <x:c r="I119" s="28" t="str">
        <x:v>Qualified local assessment documents privacy/transfers, consumer terms, payment model and contest/age requirements or scope restrictions.</x:v>
      </x:c>
      <x:c r="J119" s="28" t="str">
        <x:v>F16; F19; F23; W15; W16; W17; W18; W19; W20; W21</x:v>
      </x:c>
      <x:c r="K119" s="30" t="str"/>
      <x:c r="L119" s="32" t="str"/>
      <x:c r="M119" s="30" t="str"/>
      <x:c r="N119" s="28" t="str">
        <x:v>https://drive.google.com/file/d/1nZBkMaq85TVbCtagt109zHTRYm3Q1K7Y/view</x:v>
      </x:c>
      <x:c r="O119" s="28" t="str">
        <x:v>All enabled release scope; defer only by explicit product exclusion</x:v>
      </x:c>
    </x:row>
    <x:row r="120" ht="98" customHeight="1">
      <x:c r="A120" s="28" t="str">
        <x:v>REG-06</x:v>
      </x:c>
      <x:c r="B120" s="28" t="str">
        <x:v>Legal, privacy and club approvals</x:v>
      </x:c>
      <x:c r="C120" s="28" t="str">
        <x:v>P1</x:v>
      </x:c>
      <x:c r="D120" s="28" t="str">
        <x:v>Approve all club commercial, price, currency and receiver records</x:v>
      </x:c>
      <x:c r="E120" s="28" t="str">
        <x:v>Privacy/legal lead</x:v>
      </x:c>
      <x:c r="F120" s="28" t="str">
        <x:v>G0–G3</x:v>
      </x:c>
      <x:c r="G120" s="28" t="str">
        <x:v>REG-02</x:v>
      </x:c>
      <x:c r="H120" s="28" t="str">
        <x:v>Open</x:v>
      </x:c>
      <x:c r="I120" s="28" t="str">
        <x:v>Each country/club has authorized merchant identity, settlement ownership, unit rules, refund terms and carrier/payment routes.</x:v>
      </x:c>
      <x:c r="J120" s="28" t="str">
        <x:v>F16; F19; F23; W15; W16; W17; W18; W19; W20; W21</x:v>
      </x:c>
      <x:c r="K120" s="30" t="str"/>
      <x:c r="L120" s="32" t="str"/>
      <x:c r="M120" s="30" t="str"/>
      <x:c r="N120" s="28" t="str">
        <x:v>https://drive.google.com/file/d/1nZBkMaq85TVbCtagt109zHTRYm3Q1K7Y/view</x:v>
      </x:c>
      <x:c r="O120" s="28" t="str">
        <x:v>All enabled release scope; defer only by explicit product exclusion</x:v>
      </x:c>
    </x:row>
    <x:row r="121" ht="98" customHeight="1">
      <x:c r="A121" s="28" t="str">
        <x:v>REG-07</x:v>
      </x:c>
      <x:c r="B121" s="28" t="str">
        <x:v>Legal, privacy and club approvals</x:v>
      </x:c>
      <x:c r="C121" s="28" t="str">
        <x:v>P1</x:v>
      </x:c>
      <x:c r="D121" s="28" t="str">
        <x:v>Complete Mozambique legal and payment launch assessment</x:v>
      </x:c>
      <x:c r="E121" s="28" t="str">
        <x:v>Privacy/legal lead</x:v>
      </x:c>
      <x:c r="F121" s="28" t="str">
        <x:v>G0–G3</x:v>
      </x:c>
      <x:c r="G121" s="28" t="str">
        <x:v>REG-02; REG-06</x:v>
      </x:c>
      <x:c r="H121" s="28" t="str">
        <x:v>Open</x:v>
      </x:c>
      <x:c r="I121" s="28" t="str">
        <x:v>Qualified local assessment plus Costa do Sol native IDs, crest/palette, receiver routes and tenant-1001 collision check completed.</x:v>
      </x:c>
      <x:c r="J121" s="28" t="str">
        <x:v>F16; F19; F23; W15; W16; W17; W18; W19; W20; W21</x:v>
      </x:c>
      <x:c r="K121" s="30" t="str"/>
      <x:c r="L121" s="32" t="str"/>
      <x:c r="M121" s="30" t="str"/>
      <x:c r="N121" s="28" t="str">
        <x:v>https://drive.google.com/file/d/1nZBkMaq85TVbCtagt109zHTRYm3Q1K7Y/view</x:v>
      </x:c>
      <x:c r="O121" s="28" t="str">
        <x:v>All enabled release scope; defer only by explicit product exclusion</x:v>
      </x:c>
    </x:row>
    <x:row r="122" ht="98" customHeight="1">
      <x:c r="A122" s="28" t="str">
        <x:v>REG-08</x:v>
      </x:c>
      <x:c r="B122" s="28" t="str">
        <x:v>Legal, privacy and club approvals</x:v>
      </x:c>
      <x:c r="C122" s="28" t="str">
        <x:v>P0</x:v>
      </x:c>
      <x:c r="D122" s="28" t="str">
        <x:v>Resolve contest/reward and store-billing classification</x:v>
      </x:c>
      <x:c r="E122" s="28" t="str">
        <x:v>Privacy/legal lead</x:v>
      </x:c>
      <x:c r="F122" s="28" t="str">
        <x:v>G0–G3</x:v>
      </x:c>
      <x:c r="G122" s="28" t="str">
        <x:v>REG-02</x:v>
      </x:c>
      <x:c r="H122" s="28" t="str">
        <x:v>Open</x:v>
      </x:c>
      <x:c r="I122" s="28" t="str">
        <x:v>Counsel/product record free versus paid entry, redemption, age and territories; each membership benefit classified physical/digital under current store rules.</x:v>
      </x:c>
      <x:c r="J122" s="28" t="str">
        <x:v>F16; F19; F23; W15; W16; W17; W18; W19; W20; W21</x:v>
      </x:c>
      <x:c r="K122" s="30" t="str"/>
      <x:c r="L122" s="32" t="str"/>
      <x:c r="M122" s="30" t="str"/>
      <x:c r="N122" s="28" t="str">
        <x:v>https://drive.google.com/file/d/1nZBkMaq85TVbCtagt109zHTRYm3Q1K7Y/view</x:v>
      </x:c>
      <x:c r="O122" s="28" t="str">
        <x:v>All enabled release scope; defer only by explicit product exclusion</x:v>
      </x:c>
    </x:row>
    <x:row r="123" ht="98" customHeight="1">
      <x:c r="A123" s="28" t="str">
        <x:v>REG-09</x:v>
      </x:c>
      <x:c r="B123" s="28" t="str">
        <x:v>Legal, privacy and club approvals</x:v>
      </x:c>
      <x:c r="C123" s="28" t="str">
        <x:v>P1</x:v>
      </x:c>
      <x:c r="D123" s="28" t="str">
        <x:v>Approve white-label submission and brand ownership</x:v>
      </x:c>
      <x:c r="E123" s="28" t="str">
        <x:v>Privacy/legal lead</x:v>
      </x:c>
      <x:c r="F123" s="28" t="str">
        <x:v>G0–G3</x:v>
      </x:c>
      <x:c r="G123" s="28" t="str">
        <x:v>REG-02</x:v>
      </x:c>
      <x:c r="H123" s="28" t="str">
        <x:v>Open</x:v>
      </x:c>
      <x:c r="I123" s="28" t="str">
        <x:v>Content-provider/developer-account responsibilities and per-club authorization documented; Apple 4.2.6 template and 4.3 duplicate sports-team variant risks assessed.</x:v>
      </x:c>
      <x:c r="J123" s="28" t="str">
        <x:v>F16; F19; F23; W15; W16; W17; W18; W19; W20; W21</x:v>
      </x:c>
      <x:c r="K123" s="30" t="str"/>
      <x:c r="L123" s="32" t="str"/>
      <x:c r="M123" s="30" t="str"/>
      <x:c r="N123" s="28" t="str">
        <x:v>https://drive.google.com/file/d/1nZBkMaq85TVbCtagt109zHTRYm3Q1K7Y/view</x:v>
      </x:c>
      <x:c r="O123" s="28" t="str">
        <x:v>All enabled release scope; defer only by explicit product exclusion</x:v>
      </x:c>
    </x:row>
    <x:row r="124" ht="98" customHeight="1">
      <x:c r="A124" s="28" t="str">
        <x:v>REG-10</x:v>
      </x:c>
      <x:c r="B124" s="28" t="str">
        <x:v>Legal, privacy and club approvals</x:v>
      </x:c>
      <x:c r="C124" s="28" t="str">
        <x:v>P1</x:v>
      </x:c>
      <x:c r="D124" s="28" t="str">
        <x:v>Complete current store and public-policy submission package</x:v>
      </x:c>
      <x:c r="E124" s="28" t="str">
        <x:v>Privacy/legal lead</x:v>
      </x:c>
      <x:c r="F124" s="28" t="str">
        <x:v>G0–G3</x:v>
      </x:c>
      <x:c r="G124" s="28" t="str">
        <x:v>REG-08; REG-09; QAT-10</x:v>
      </x:c>
      <x:c r="H124" s="28" t="str">
        <x:v>Open</x:v>
      </x:c>
      <x:c r="I124" s="28" t="str">
        <x:v>Reviewer access, support, privacy/Data Safety, in-app/web deletion paths, age ratings, required SDK/target levels and regional billing rules verified at submission.</x:v>
      </x:c>
      <x:c r="J124" s="28" t="str">
        <x:v>F16; F19; F23; W15; W16; W17; W18; W19; W20; W21</x:v>
      </x:c>
      <x:c r="K124" s="30" t="str"/>
      <x:c r="L124" s="32" t="str"/>
      <x:c r="M124" s="30" t="str"/>
      <x:c r="N124" s="28" t="str">
        <x:v>https://drive.google.com/file/d/1nZBkMaq85TVbCtagt109zHTRYm3Q1K7Y/view</x:v>
      </x:c>
      <x:c r="O124" s="28" t="str">
        <x:v>All enabled release scope; defer only by explicit product exclusion</x:v>
      </x:c>
    </x:row>
    <x:row r="125" ht="98" customHeight="1">
      <x:c r="A125" s="28" t="str">
        <x:v>REL-01</x:v>
      </x:c>
      <x:c r="B125" s="28" t="str">
        <x:v>Controlled launch and retirement</x:v>
      </x:c>
      <x:c r="C125" s="28" t="str">
        <x:v>P0</x:v>
      </x:c>
      <x:c r="D125" s="28" t="str">
        <x:v>Approve narrowly scoped staged rollout instead of big-bang release</x:v>
      </x:c>
      <x:c r="E125" s="28" t="str">
        <x:v>Release manager</x:v>
      </x:c>
      <x:c r="F125" s="28" t="str">
        <x:v>G4–G5</x:v>
      </x:c>
      <x:c r="G125" s="28" t="str">
        <x:v>REP-10; ARC-01</x:v>
      </x:c>
      <x:c r="H125" s="28" t="str">
        <x:v>Open</x:v>
      </x:c>
      <x:c r="I125" s="28" t="str">
        <x:v>Public read-only, authenticated membership, financial products and club/platform expansions have separate acceptance gates and kill switches.</x:v>
      </x:c>
      <x:c r="J125" s="28" t="str">
        <x:v>F02; F06; F14; S22; W09</x:v>
      </x:c>
      <x:c r="K125" s="30" t="str"/>
      <x:c r="L125" s="32" t="str"/>
      <x:c r="M125" s="30" t="str"/>
      <x:c r="N125" s="28" t="str">
        <x:v>https://drive.google.com/file/d/1NBjccCUL0GExYKlWVsGptSv3TttePFa7/view</x:v>
      </x:c>
      <x:c r="O125" s="28" t="str">
        <x:v>All enabled release scope; defer only by explicit product exclusion</x:v>
      </x:c>
    </x:row>
    <x:row r="126" ht="98" customHeight="1">
      <x:c r="A126" s="28" t="str">
        <x:v>REL-02</x:v>
      </x:c>
      <x:c r="B126" s="28" t="str">
        <x:v>Controlled launch and retirement</x:v>
      </x:c>
      <x:c r="C126" s="28" t="str">
        <x:v>P1</x:v>
      </x:c>
      <x:c r="D126" s="28" t="str">
        <x:v>Verify infrastructure-as-code and environmental isolation</x:v>
      </x:c>
      <x:c r="E126" s="28" t="str">
        <x:v>Release manager</x:v>
      </x:c>
      <x:c r="F126" s="28" t="str">
        <x:v>G4–G5</x:v>
      </x:c>
      <x:c r="G126" s="28" t="str">
        <x:v>DAT-03; SEC-10</x:v>
      </x:c>
      <x:c r="H126" s="28" t="str">
        <x:v>Open</x:v>
      </x:c>
      <x:c r="I126" s="28" t="str">
        <x:v>Approved accounts, regions, resource IDs, secrets, routes and principals read back; no placeholders or production test overrides.</x:v>
      </x:c>
      <x:c r="J126" s="28" t="str">
        <x:v>F02; F06; F14; S22; W09</x:v>
      </x:c>
      <x:c r="K126" s="30" t="str"/>
      <x:c r="L126" s="32" t="str"/>
      <x:c r="M126" s="30" t="str"/>
      <x:c r="N126" s="28" t="str">
        <x:v>https://drive.google.com/file/d/1NBjccCUL0GExYKlWVsGptSv3TttePFa7/view</x:v>
      </x:c>
      <x:c r="O126" s="28" t="str">
        <x:v>All enabled release scope; defer only by explicit product exclusion</x:v>
      </x:c>
    </x:row>
    <x:row r="127" ht="98" customHeight="1">
      <x:c r="A127" s="28" t="str">
        <x:v>REL-03</x:v>
      </x:c>
      <x:c r="B127" s="28" t="str">
        <x:v>Controlled launch and retirement</x:v>
      </x:c>
      <x:c r="C127" s="28" t="str">
        <x:v>P1</x:v>
      </x:c>
      <x:c r="D127" s="28" t="str">
        <x:v>Release a read-only pilot only after its own gates pass</x:v>
      </x:c>
      <x:c r="E127" s="28" t="str">
        <x:v>Release manager</x:v>
      </x:c>
      <x:c r="F127" s="28" t="str">
        <x:v>G4–G5</x:v>
      </x:c>
      <x:c r="G127" s="28" t="str">
        <x:v>WEB-01; WEB-02; WEB-09; OPS-03; QAT-01</x:v>
      </x:c>
      <x:c r="H127" s="28" t="str">
        <x:v>Open</x:v>
      </x:c>
      <x:c r="I127" s="28" t="str">
        <x:v>Approved fresh source, rights, public read behavior, domain/security/operational checks and owner acceptance tied to exact artifact.</x:v>
      </x:c>
      <x:c r="J127" s="28" t="str">
        <x:v>F02; F06; F14; S22; W09</x:v>
      </x:c>
      <x:c r="K127" s="30" t="str"/>
      <x:c r="L127" s="32" t="str"/>
      <x:c r="M127" s="30" t="str"/>
      <x:c r="N127" s="28" t="str">
        <x:v>https://drive.google.com/file/d/1NBjccCUL0GExYKlWVsGptSv3TttePFa7/view</x:v>
      </x:c>
      <x:c r="O127" s="28" t="str">
        <x:v>All enabled release scope; defer only by explicit product exclusion</x:v>
      </x:c>
    </x:row>
    <x:row r="128" ht="98" customHeight="1">
      <x:c r="A128" s="28" t="str">
        <x:v>REL-04</x:v>
      </x:c>
      <x:c r="B128" s="28" t="str">
        <x:v>Controlled launch and retirement</x:v>
      </x:c>
      <x:c r="C128" s="28" t="str">
        <x:v>P1</x:v>
      </x:c>
      <x:c r="D128" s="28" t="str">
        <x:v>Run supervised authenticated membership pilot</x:v>
      </x:c>
      <x:c r="E128" s="28" t="str">
        <x:v>Release manager</x:v>
      </x:c>
      <x:c r="F128" s="28" t="str">
        <x:v>G4–G5</x:v>
      </x:c>
      <x:c r="G128" s="28" t="str">
        <x:v>AUT-10; PAY-10; MOB-10; WEB-10; QAT-10</x:v>
      </x:c>
      <x:c r="H128" s="28" t="str">
        <x:v>Open</x:v>
      </x:c>
      <x:c r="I128" s="28" t="str">
        <x:v>Real isolated end-to-end sign-in/checkout/provider evidence/renewal/recovery and support checks succeed before real-money expansion.</x:v>
      </x:c>
      <x:c r="J128" s="28" t="str">
        <x:v>F02; F06; F14; S22; W09</x:v>
      </x:c>
      <x:c r="K128" s="30" t="str"/>
      <x:c r="L128" s="32" t="str"/>
      <x:c r="M128" s="30" t="str"/>
      <x:c r="N128" s="28" t="str">
        <x:v>https://drive.google.com/file/d/1NBjccCUL0GExYKlWVsGptSv3TttePFa7/view</x:v>
      </x:c>
      <x:c r="O128" s="28" t="str">
        <x:v>All enabled release scope; defer only by explicit product exclusion</x:v>
      </x:c>
    </x:row>
    <x:row r="129" ht="98" customHeight="1">
      <x:c r="A129" s="28" t="str">
        <x:v>REL-05</x:v>
      </x:c>
      <x:c r="B129" s="28" t="str">
        <x:v>Controlled launch and retirement</x:v>
      </x:c>
      <x:c r="C129" s="28" t="str">
        <x:v>P0</x:v>
      </x:c>
      <x:c r="D129" s="28" t="str">
        <x:v>Rehearse single-writer cutover with versioned client admission</x:v>
      </x:c>
      <x:c r="E129" s="28" t="str">
        <x:v>Release manager</x:v>
      </x:c>
      <x:c r="F129" s="28" t="str">
        <x:v>G4–G5</x:v>
      </x:c>
      <x:c r="G129" s="28" t="str">
        <x:v>DAT-10; REL-02; PAY-10</x:v>
      </x:c>
      <x:c r="H129" s="28" t="str">
        <x:v>Open</x:v>
      </x:c>
      <x:c r="I129" s="28" t="str">
        <x:v>Final consistent export/deltas, drained jobs, old-client policy, source freeze, reconciliation and target writer enablement executed in rehearsal.</x:v>
      </x:c>
      <x:c r="J129" s="28" t="str">
        <x:v>F02; F06; F14; S22; W09</x:v>
      </x:c>
      <x:c r="K129" s="30" t="str"/>
      <x:c r="L129" s="32" t="str"/>
      <x:c r="M129" s="30" t="str"/>
      <x:c r="N129" s="28" t="str">
        <x:v>https://drive.google.com/file/d/1NBjccCUL0GExYKlWVsGptSv3TttePFa7/view</x:v>
      </x:c>
      <x:c r="O129" s="28" t="str">
        <x:v>All enabled release scope; defer only by explicit product exclusion</x:v>
      </x:c>
    </x:row>
    <x:row r="130" ht="98" customHeight="1">
      <x:c r="A130" s="28" t="str">
        <x:v>REL-06</x:v>
      </x:c>
      <x:c r="B130" s="28" t="str">
        <x:v>Controlled launch and retirement</x:v>
      </x:c>
      <x:c r="C130" s="28" t="str">
        <x:v>P0</x:v>
      </x:c>
      <x:c r="D130" s="28" t="str">
        <x:v>Rehearse rollback after target financial writes</x:v>
      </x:c>
      <x:c r="E130" s="28" t="str">
        <x:v>Release manager</x:v>
      </x:c>
      <x:c r="F130" s="28" t="str">
        <x:v>G4–G5</x:v>
      </x:c>
      <x:c r="G130" s="28" t="str">
        <x:v>REL-05; OPS-06</x:v>
      </x:c>
      <x:c r="H130" s="28" t="str">
        <x:v>Open</x:v>
      </x:c>
      <x:c r="I130" s="28" t="str">
        <x:v>Document restore/forward-reconcile strategy; no traffic flip to stale source; customer obligations and original references preserved.</x:v>
      </x:c>
      <x:c r="J130" s="28" t="str">
        <x:v>F02; F06; F14; S22; W09</x:v>
      </x:c>
      <x:c r="K130" s="30" t="str"/>
      <x:c r="L130" s="32" t="str"/>
      <x:c r="M130" s="30" t="str"/>
      <x:c r="N130" s="28" t="str">
        <x:v>https://drive.google.com/file/d/1NBjccCUL0GExYKlWVsGptSv3TttePFa7/view</x:v>
      </x:c>
      <x:c r="O130" s="28" t="str">
        <x:v>All enabled release scope; defer only by explicit product exclusion</x:v>
      </x:c>
    </x:row>
    <x:row r="131" ht="98" customHeight="1">
      <x:c r="A131" s="28" t="str">
        <x:v>REL-07</x:v>
      </x:c>
      <x:c r="B131" s="28" t="str">
        <x:v>Controlled launch and retirement</x:v>
      </x:c>
      <x:c r="C131" s="28" t="str">
        <x:v>P1</x:v>
      </x:c>
      <x:c r="D131" s="28" t="str">
        <x:v>Obtain named go/no-go approvals and staged store rollout</x:v>
      </x:c>
      <x:c r="E131" s="28" t="str">
        <x:v>Release manager</x:v>
      </x:c>
      <x:c r="F131" s="28" t="str">
        <x:v>G4–G5</x:v>
      </x:c>
      <x:c r="G131" s="28" t="str">
        <x:v>REG-10; QAT-10; REL-06</x:v>
      </x:c>
      <x:c r="H131" s="28" t="str">
        <x:v>Open</x:v>
      </x:c>
      <x:c r="I131" s="28" t="str">
        <x:v>Security, privacy, finance, product, QA, ops and club owners approve exact scope; percentages/observation windows chosen from evidence.</x:v>
      </x:c>
      <x:c r="J131" s="28" t="str">
        <x:v>F02; F06; F14; S22; W09</x:v>
      </x:c>
      <x:c r="K131" s="30" t="str"/>
      <x:c r="L131" s="32" t="str"/>
      <x:c r="M131" s="30" t="str"/>
      <x:c r="N131" s="28" t="str">
        <x:v>https://drive.google.com/file/d/1NBjccCUL0GExYKlWVsGptSv3TttePFa7/view</x:v>
      </x:c>
      <x:c r="O131" s="28" t="str">
        <x:v>All enabled release scope; defer only by explicit product exclusion</x:v>
      </x:c>
    </x:row>
    <x:row r="132" ht="98" customHeight="1">
      <x:c r="A132" s="28" t="str">
        <x:v>REL-08</x:v>
      </x:c>
      <x:c r="B132" s="28" t="str">
        <x:v>Controlled launch and retirement</x:v>
      </x:c>
      <x:c r="C132" s="28" t="str">
        <x:v>P1</x:v>
      </x:c>
      <x:c r="D132" s="28" t="str">
        <x:v>Observe and reconcile the launch before expanding clubs</x:v>
      </x:c>
      <x:c r="E132" s="28" t="str">
        <x:v>Release manager</x:v>
      </x:c>
      <x:c r="F132" s="28" t="str">
        <x:v>G4–G5</x:v>
      </x:c>
      <x:c r="G132" s="28" t="str">
        <x:v>REL-07; OPS-09; OPS-10</x:v>
      </x:c>
      <x:c r="H132" s="28" t="str">
        <x:v>Open</x:v>
      </x:c>
      <x:c r="I132" s="28" t="str">
        <x:v>Per-club errors, support demand, provider settlement and duplicate-prevention checks meet budgets; pause criteria enforced.</x:v>
      </x:c>
      <x:c r="J132" s="28" t="str">
        <x:v>F02; F06; F14; S22; W09</x:v>
      </x:c>
      <x:c r="K132" s="30" t="str"/>
      <x:c r="L132" s="32" t="str"/>
      <x:c r="M132" s="30" t="str"/>
      <x:c r="N132" s="28" t="str">
        <x:v>https://drive.google.com/file/d/1NBjccCUL0GExYKlWVsGptSv3TttePFa7/view</x:v>
      </x:c>
      <x:c r="O132" s="28" t="str">
        <x:v>All enabled release scope; defer only by explicit product exclusion</x:v>
      </x:c>
    </x:row>
    <x:row r="133" ht="98" customHeight="1">
      <x:c r="A133" s="28" t="str">
        <x:v>REL-09</x:v>
      </x:c>
      <x:c r="B133" s="28" t="str">
        <x:v>Controlled launch and retirement</x:v>
      </x:c>
      <x:c r="C133" s="28" t="str">
        <x:v>P1</x:v>
      </x:c>
      <x:c r="D133" s="28" t="str">
        <x:v>Retire source services only after dependency and restore closure</x:v>
      </x:c>
      <x:c r="E133" s="28" t="str">
        <x:v>Release manager</x:v>
      </x:c>
      <x:c r="F133" s="28" t="str">
        <x:v>G4–G5</x:v>
      </x:c>
      <x:c r="G133" s="28" t="str">
        <x:v>REL-08; DAT-09</x:v>
      </x:c>
      <x:c r="H133" s="28" t="str">
        <x:v>Open</x:v>
      </x:c>
      <x:c r="I133" s="28" t="str">
        <x:v>No remaining client/function/job/storage dependency; archives restorable; keys revoked; paid obligations and retention approvals complete.</x:v>
      </x:c>
      <x:c r="J133" s="28" t="str">
        <x:v>F02; F06; F14; S22; W09</x:v>
      </x:c>
      <x:c r="K133" s="30" t="str"/>
      <x:c r="L133" s="32" t="str"/>
      <x:c r="M133" s="30" t="str"/>
      <x:c r="N133" s="28" t="str">
        <x:v>https://drive.google.com/file/d/1NBjccCUL0GExYKlWVsGptSv3TttePFa7/view</x:v>
      </x:c>
      <x:c r="O133" s="28" t="str">
        <x:v>All enabled release scope; defer only by explicit product exclusion</x:v>
      </x:c>
    </x:row>
    <x:row r="134" ht="98" customHeight="1">
      <x:c r="A134" s="28" t="str">
        <x:v>REL-10</x:v>
      </x:c>
      <x:c r="B134" s="28" t="str">
        <x:v>Controlled launch and retirement</x:v>
      </x:c>
      <x:c r="C134" s="28" t="str">
        <x:v>P2</x:v>
      </x:c>
      <x:c r="D134" s="28" t="str">
        <x:v>Maintain continuous post-launch assurance and policy watch</x:v>
      </x:c>
      <x:c r="E134" s="28" t="str">
        <x:v>Release manager</x:v>
      </x:c>
      <x:c r="F134" s="28" t="str">
        <x:v>G4–G5</x:v>
      </x:c>
      <x:c r="G134" s="28" t="str">
        <x:v>REL-08</x:v>
      </x:c>
      <x:c r="H134" s="28" t="str">
        <x:v>Open</x:v>
      </x:c>
      <x:c r="I134" s="28" t="str">
        <x:v>Periodic access, dependency, privacy, store-policy, rights, disaster-recovery and cost reviews have accountable owners.</x:v>
      </x:c>
      <x:c r="J134" s="28" t="str">
        <x:v>F02; F06; F14; S22; W09</x:v>
      </x:c>
      <x:c r="K134" s="30" t="str"/>
      <x:c r="L134" s="32" t="str"/>
      <x:c r="M134" s="30" t="str"/>
      <x:c r="N134" s="28" t="str">
        <x:v>https://drive.google.com/file/d/1NBjccCUL0GExYKlWVsGptSv3TttePFa7/view</x:v>
      </x:c>
      <x:c r="O134" s="28" t="str">
        <x:v>All enabled release scope; defer only by explicit product exclusion</x:v>
      </x:c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O2"/>
    <x:mergeCell ref="A3:O3"/>
  </x:mergeCells>
  <x:conditionalFormatting sqref="C5:C134">
    <x:cfRule type="expression" dxfId="0" priority="1">
      <x:formula>C5="P0"</x:formula>
    </x:cfRule>
    <x:cfRule type="expression" dxfId="1" priority="2">
      <x:formula>C5="P1"</x:formula>
    </x:cfRule>
  </x:conditionalFormatting>
  <x:conditionalFormatting sqref="H5:H134">
    <x:cfRule type="expression" dxfId="2" priority="3">
      <x:formula>H5="Closed"</x:formula>
    </x:cfRule>
  </x:conditionalFormatting>
  <x:dataValidations count="2">
    <x:dataValidation type="list" sqref="C5:C134">
      <x:formula1>"P0,P1,P2"</x:formula1>
    </x:dataValidation>
    <x:dataValidation type="list" sqref="H5:H134">
      <x:formula1>"Open,In progress,Blocked,Review,Closed,Excluded by scope"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461253df37b4c49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0" hidden="0" customWidth="1"/>
    <x:col min="3" max="3" width="40" hidden="0" customWidth="1"/>
    <x:col min="4" max="4" width="30" hidden="0" customWidth="1"/>
    <x:col min="5" max="5" width="24" hidden="0" customWidth="1"/>
    <x:col min="6" max="6" width="40" hidden="0" customWidth="1"/>
    <x:col min="7" max="7" width="40" hidden="0" customWidth="1"/>
    <x:col min="8" max="8" width="28" hidden="0" customWidth="1"/>
  </x:cols>
  <x:sheetData>
    <x:row r="1" ht="24" customHeight="1">
      <x:c r="A1" s="8" t="str">
        <x:v>AFRICLUB | Evidence-led finding register</x:v>
      </x:c>
      <x:c r="B1" s="8"/>
      <x:c r="C1" s="8"/>
      <x:c r="D1" s="8"/>
      <x:c r="E1" s="8"/>
      <x:c r="F1" s="8"/>
      <x:c r="G1" s="8"/>
      <x:c r="H1" s="8"/>
      <x:c r="I1" s="4"/>
      <x:c r="J1" s="4"/>
      <x:c r="K1" s="4"/>
      <x:c r="L1" s="4"/>
      <x:c r="M1" s="4"/>
      <x:c r="N1" s="4"/>
      <x:c r="O1" s="4"/>
    </x:row>
    <x:row r="2" ht="24" customHeight="1">
      <x:c r="A2" s="8"/>
      <x:c r="B2" s="8"/>
      <x:c r="C2" s="8"/>
      <x:c r="D2" s="8"/>
      <x:c r="E2" s="8"/>
      <x:c r="F2" s="8"/>
      <x:c r="G2" s="8"/>
      <x:c r="H2" s="8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30" customHeight="1">
      <x:c r="A4" s="23" t="str">
        <x:v>Finding</x:v>
      </x:c>
      <x:c r="B4" s="23" t="str">
        <x:v>Priority</x:v>
      </x:c>
      <x:c r="C4" s="23" t="str">
        <x:v>Title</x:v>
      </x:c>
      <x:c r="D4" s="23" t="str">
        <x:v>Evidence class</x:v>
      </x:c>
      <x:c r="E4" s="23" t="str">
        <x:v>Evidence IDs</x:v>
      </x:c>
      <x:c r="F4" s="23" t="str">
        <x:v>Impact</x:v>
      </x:c>
      <x:c r="G4" s="23" t="str">
        <x:v>Required response</x:v>
      </x:c>
      <x:c r="H4" s="23" t="str">
        <x:v>Closure status</x:v>
      </x:c>
      <x:c r="I4" s="4"/>
      <x:c r="J4" s="4"/>
      <x:c r="K4" s="4"/>
      <x:c r="L4" s="4"/>
      <x:c r="M4" s="4"/>
      <x:c r="N4" s="4"/>
      <x:c r="O4" s="4"/>
    </x:row>
    <x:row r="5" ht="110" customHeight="1">
      <x:c r="A5" s="28" t="str">
        <x:v>F01</x:v>
      </x:c>
      <x:c r="B5" s="28" t="str">
        <x:v>P0</x:v>
      </x:c>
      <x:c r="C5" s="28" t="str">
        <x:v>Link-holder write permission on repository and sensitive artifacts</x:v>
      </x:c>
      <x:c r="D5" s="28" t="str">
        <x:v>Fresh metadata</x:v>
      </x:c>
      <x:c r="E5" s="28" t="str">
        <x:v>E01; S30; S31; W01</x:v>
      </x:c>
      <x:c r="F5" s="28" t="str">
        <x:v>Unauthenticated link holders may access or alter the reported resources; exposure and artifact validity are unassessed.</x:v>
      </x:c>
      <x:c r="G5" s="28" t="str">
        <x:v>Restrict sharing, preserve audit evidence, classify actual secrets, and rotate/reset affected credentials through controlled procedures.</x:v>
      </x:c>
      <x:c r="H5" s="28" t="str">
        <x:v>Open; closure evidence required</x:v>
      </x:c>
      <x:c r="I5" s="4"/>
      <x:c r="J5" s="4"/>
      <x:c r="K5" s="4"/>
      <x:c r="L5" s="4"/>
      <x:c r="M5" s="4"/>
      <x:c r="N5" s="4"/>
      <x:c r="O5" s="4"/>
    </x:row>
    <x:row r="6" ht="110" customHeight="1">
      <x:c r="A6" s="28" t="str">
        <x:v>F02</x:v>
      </x:c>
      <x:c r="B6" s="28" t="str">
        <x:v>P0</x:v>
      </x:c>
      <x:c r="C6" s="28" t="str">
        <x:v>No reconciled single production candidate</x:v>
      </x:c>
      <x:c r="D6" s="28" t="str">
        <x:v>Fresh source + archive comparison</x:v>
      </x:c>
      <x:c r="E6" s="28" t="str">
        <x:v>S02; S05; S07; E02; S34</x:v>
      </x:c>
      <x:c r="F6" s="28" t="str">
        <x:v>A saved patch may not be the file executed by the build or Worker.</x:v>
      </x:c>
      <x:c r="G6" s="28" t="str">
        <x:v>Create one protected candidate commit, reconcile every patch by path/hash, and separate archival from executable state.</x:v>
      </x:c>
      <x:c r="H6" s="28" t="str">
        <x:v>Open; closure evidence required</x:v>
      </x:c>
      <x:c r="I6" s="4"/>
      <x:c r="J6" s="4"/>
      <x:c r="K6" s="4"/>
      <x:c r="L6" s="4"/>
      <x:c r="M6" s="4"/>
      <x:c r="N6" s="4"/>
      <x:c r="O6" s="4"/>
    </x:row>
    <x:row r="7" ht="110" customHeight="1">
      <x:c r="A7" s="28" t="str">
        <x:v>F03</x:v>
      </x:c>
      <x:c r="B7" s="28" t="str">
        <x:v>P0</x:v>
      </x:c>
      <x:c r="C7" s="28" t="str">
        <x:v>Current boundary validator rejects legitimate migration inventory</x:v>
      </x:c>
      <x:c r="D7" s="28" t="str">
        <x:v>Fresh local reproduction</x:v>
      </x:c>
      <x:c r="E7" s="28" t="str">
        <x:v>S03; S05; S06; E03</x:v>
      </x:c>
      <x:c r="F7" s="28" t="str">
        <x:v>Integration can fail while isolated validator tests pass.</x:v>
      </x:c>
      <x:c r="G7" s="28" t="str">
        <x:v>Install a reviewed narrow exception mechanism and test actual current inventory plus negative runtime cases.</x:v>
      </x:c>
      <x:c r="H7" s="28" t="str">
        <x:v>Open; closure evidence required</x:v>
      </x:c>
      <x:c r="I7" s="4"/>
      <x:c r="J7" s="4"/>
      <x:c r="K7" s="4"/>
      <x:c r="L7" s="4"/>
      <x:c r="M7" s="4"/>
      <x:c r="N7" s="4"/>
      <x:c r="O7" s="4"/>
    </x:row>
    <x:row r="8" ht="110" customHeight="1">
      <x:c r="A8" s="28" t="str">
        <x:v>F04</x:v>
      </x:c>
      <x:c r="B8" s="28" t="str">
        <x:v>P0</x:v>
      </x:c>
      <x:c r="C8" s="28" t="str">
        <x:v>Public reader uses newest-row freshness rather than completed snapshot</x:v>
      </x:c>
      <x:c r="D8" s="28" t="str">
        <x:v>Fresh local reproduction</x:v>
      </x:c>
      <x:c r="E8" s="28" t="str">
        <x:v>S07; E04</x:v>
      </x:c>
      <x:c r="F8" s="28" t="str">
        <x:v>One fresh unrelated record can make stale news appear fresh if partial refreshes coexist.</x:v>
      </x:c>
      <x:c r="G8" s="28" t="str">
        <x:v>Read only a sealed, complete, approved active snapshot; atomically advance its pointer.</x:v>
      </x:c>
      <x:c r="H8" s="28" t="str">
        <x:v>Open; closure evidence required</x:v>
      </x:c>
      <x:c r="I8" s="4"/>
      <x:c r="J8" s="4"/>
      <x:c r="K8" s="4"/>
      <x:c r="L8" s="4"/>
      <x:c r="M8" s="4"/>
      <x:c r="N8" s="4"/>
      <x:c r="O8" s="4"/>
    </x:row>
    <x:row r="9" ht="110" customHeight="1">
      <x:c r="A9" s="28" t="str">
        <x:v>F05</x:v>
      </x:c>
      <x:c r="B9" s="28" t="str">
        <x:v>P1</x:v>
      </x:c>
      <x:c r="C9" s="28" t="str">
        <x:v>Public media bypasses freshness and byte-digest checks</x:v>
      </x:c>
      <x:c r="D9" s="28" t="str">
        <x:v>Fresh local reproduction</x:v>
      </x:c>
      <x:c r="E9" s="28" t="str">
        <x:v>S07; E04</x:v>
      </x:c>
      <x:c r="F9" s="28" t="str">
        <x:v>A same-size wrong object is served; rights revocation/freshness semantics differ silently.</x:v>
      </x:c>
      <x:c r="G9" s="28" t="str">
        <x:v>Verify immutable content-addressed bytes and define explicit approval/revocation/cache rules.</x:v>
      </x:c>
      <x:c r="H9" s="28" t="str">
        <x:v>Open; closure evidence required</x:v>
      </x:c>
      <x:c r="I9" s="4"/>
      <x:c r="J9" s="4"/>
      <x:c r="K9" s="4"/>
      <x:c r="L9" s="4"/>
      <x:c r="M9" s="4"/>
      <x:c r="N9" s="4"/>
      <x:c r="O9" s="4"/>
    </x:row>
    <x:row r="10" ht="110" customHeight="1">
      <x:c r="A10" s="28" t="str">
        <x:v>F06</x:v>
      </x:c>
      <x:c r="B10" s="28" t="str">
        <x:v>P0</x:v>
      </x:c>
      <x:c r="C10" s="28" t="str">
        <x:v>Deploy workflow does not establish candidate-wide required checks</x:v>
      </x:c>
      <x:c r="D10" s="28" t="str">
        <x:v>Fresh source</x:v>
      </x:c>
      <x:c r="E10" s="28" t="str">
        <x:v>S03; S04; S08; S09; W10; W13</x:v>
      </x:c>
      <x:c r="F10" s="28" t="str">
        <x:v>A direct deploy path lacks an explicit type-check/test dependency while Next skips build-time type errors.</x:v>
      </x:c>
      <x:c r="G10" s="28" t="str">
        <x:v>Promote a tested immutable artifact through protected environments and enforce required checks for its exact commit.</x:v>
      </x:c>
      <x:c r="H10" s="28" t="str">
        <x:v>Open; closure evidence required</x:v>
      </x:c>
      <x:c r="I10" s="4"/>
      <x:c r="J10" s="4"/>
      <x:c r="K10" s="4"/>
      <x:c r="L10" s="4"/>
      <x:c r="M10" s="4"/>
      <x:c r="N10" s="4"/>
      <x:c r="O10" s="4"/>
    </x:row>
    <x:row r="11" ht="110" customHeight="1">
      <x:c r="A11" s="28" t="str">
        <x:v>F07</x:v>
      </x:c>
      <x:c r="B11" s="28" t="str">
        <x:v>P1</x:v>
      </x:c>
      <x:c r="C11" s="28" t="str">
        <x:v>New runtime/native suites are outside inspected main CI</x:v>
      </x:c>
      <x:c r="D11" s="28" t="str">
        <x:v>Fresh source</x:v>
      </x:c>
      <x:c r="E11" s="28" t="str">
        <x:v>S02; S03; E05; E06; W05; W06</x:v>
      </x:c>
      <x:c r="F11" s="28" t="str">
        <x:v>Hundreds of local tests do not demonstrate repeatable checks on the assembled production candidate.</x:v>
      </x:c>
      <x:c r="G11" s="28" t="str">
        <x:v>Register all current suites and distinguish blocked platform tests from passed portable tests.</x:v>
      </x:c>
      <x:c r="H11" s="28" t="str">
        <x:v>Open; closure evidence required</x:v>
      </x:c>
      <x:c r="I11" s="4"/>
      <x:c r="J11" s="4"/>
      <x:c r="K11" s="4"/>
      <x:c r="L11" s="4"/>
      <x:c r="M11" s="4"/>
      <x:c r="N11" s="4"/>
      <x:c r="O11" s="4"/>
    </x:row>
    <x:row r="12" ht="110" customHeight="1">
      <x:c r="A12" s="28" t="str">
        <x:v>F08</x:v>
      </x:c>
      <x:c r="B12" s="28" t="str">
        <x:v>P1</x:v>
      </x:c>
      <x:c r="C12" s="28" t="str">
        <x:v>Operator console documentation and installed entrypoints diverge</x:v>
      </x:c>
      <x:c r="D12" s="28" t="str">
        <x:v>Fresh source and listings</x:v>
      </x:c>
      <x:c r="E12" s="28" t="str">
        <x:v>S23; S24; S25; S26; W08</x:v>
      </x:c>
      <x:c r="F12" s="28" t="str">
        <x:v>Console documentation names a configuration/wrapper not returned in the inspected folders; API-only entrypoint does not invoke the console.</x:v>
      </x:c>
      <x:c r="G12" s="28" t="str">
        <x:v>Reconcile console wrapper, assets, config, API contracts and PWA launcher; prove a real Access-authenticated journey.</x:v>
      </x:c>
      <x:c r="H12" s="28" t="str">
        <x:v>Open; closure evidence required</x:v>
      </x:c>
      <x:c r="I12" s="4"/>
      <x:c r="J12" s="4"/>
      <x:c r="K12" s="4"/>
      <x:c r="L12" s="4"/>
      <x:c r="M12" s="4"/>
      <x:c r="N12" s="4"/>
      <x:c r="O12" s="4"/>
    </x:row>
    <x:row r="13" ht="110" customHeight="1">
      <x:c r="A13" s="28" t="str">
        <x:v>F09</x:v>
      </x:c>
      <x:c r="B13" s="28" t="str">
        <x:v>P1</x:v>
      </x:c>
      <x:c r="C13" s="28" t="str">
        <x:v>Shared ten-per-minute OTP challenge budget</x:v>
      </x:c>
      <x:c r="D13" s="28" t="str">
        <x:v>Fresh local reproduction</x:v>
      </x:c>
      <x:c r="E13" s="28" t="str">
        <x:v>S10; E04</x:v>
      </x:c>
      <x:c r="F13" s="28" t="str">
        <x:v>One club can exhaust another club’s challenge issuance; arbitrary unique phones can consume the shared budget.</x:v>
      </x:c>
      <x:c r="G13" s="28" t="str">
        <x:v>Adopt measured hierarchical abuse controls and per-club fairness with an explicit global provider-cost ceiling.</x:v>
      </x:c>
      <x:c r="H13" s="28" t="str">
        <x:v>Open; closure evidence required</x:v>
      </x:c>
      <x:c r="I13" s="4"/>
      <x:c r="J13" s="4"/>
      <x:c r="K13" s="4"/>
      <x:c r="L13" s="4"/>
      <x:c r="M13" s="4"/>
      <x:c r="N13" s="4"/>
      <x:c r="O13" s="4"/>
    </x:row>
    <x:row r="14" ht="110" customHeight="1">
      <x:c r="A14" s="28" t="str">
        <x:v>F10</x:v>
      </x:c>
      <x:c r="B14" s="28" t="str">
        <x:v>P0</x:v>
      </x:c>
      <x:c r="C14" s="28" t="str">
        <x:v>Session checks do not create cross-database revocation atomicity</x:v>
      </x:c>
      <x:c r="D14" s="28" t="str">
        <x:v>Source-admitted limitation</x:v>
      </x:c>
      <x:c r="E14" s="28" t="str">
        <x:v>S11; S13; W03</x:v>
      </x:c>
      <x:c r="F14" s="28" t="str">
        <x:v>A checkout can commit after an identity check and before revocation is observed; downstream money commands need stronger semantics.</x:v>
      </x:c>
      <x:c r="G14" s="28" t="str">
        <x:v>Define authorization linearization for each command, then implement version/fence or co-located authority as required.</x:v>
      </x:c>
      <x:c r="H14" s="28" t="str">
        <x:v>Open; closure evidence required</x:v>
      </x:c>
      <x:c r="I14" s="4"/>
      <x:c r="J14" s="4"/>
      <x:c r="K14" s="4"/>
      <x:c r="L14" s="4"/>
      <x:c r="M14" s="4"/>
      <x:c r="N14" s="4"/>
      <x:c r="O14" s="4"/>
    </x:row>
    <x:row r="15" ht="110" customHeight="1">
      <x:c r="A15" s="28" t="str">
        <x:v>F11</x:v>
      </x:c>
      <x:c r="B15" s="28" t="str">
        <x:v>P1</x:v>
      </x:c>
      <x:c r="C15" s="28" t="str">
        <x:v>Account deletion stops at pending external erasure</x:v>
      </x:c>
      <x:c r="D15" s="28" t="str">
        <x:v>Fresh source</x:v>
      </x:c>
      <x:c r="E15" s="28" t="str">
        <x:v>S10; W16; W19; W23</x:v>
      </x:c>
      <x:c r="F15" s="28" t="str">
        <x:v>Revoking sessions does not complete deletion, retention exceptions or downstream removal.</x:v>
      </x:c>
      <x:c r="G15" s="28" t="str">
        <x:v>Implement an auditable erasure workflow and user-facing status across every data processor.</x:v>
      </x:c>
      <x:c r="H15" s="28" t="str">
        <x:v>Open; closure evidence required</x:v>
      </x:c>
      <x:c r="I15" s="4"/>
      <x:c r="J15" s="4"/>
      <x:c r="K15" s="4"/>
      <x:c r="L15" s="4"/>
      <x:c r="M15" s="4"/>
      <x:c r="N15" s="4"/>
      <x:c r="O15" s="4"/>
    </x:row>
    <x:row r="16" ht="110" customHeight="1">
      <x:c r="A16" s="28" t="str">
        <x:v>F12</x:v>
      </x:c>
      <x:c r="B16" s="28" t="str">
        <x:v>P0</x:v>
      </x:c>
      <x:c r="C16" s="28" t="str">
        <x:v>Payment provenance is not settlement authenticity</x:v>
      </x:c>
      <x:c r="D16" s="28" t="str">
        <x:v>Fresh source contract</x:v>
      </x:c>
      <x:c r="E16" s="28" t="str">
        <x:v>S13; S15</x:v>
      </x:c>
      <x:c r="F16" s="28" t="str">
        <x:v>Hashes and attestation references cannot establish that actual money moved.</x:v>
      </x:c>
      <x:c r="G16" s="28" t="str">
        <x:v>Integrate authenticated provider evidence, receiving-account reconciliation and governed exception handling before real allocation.</x:v>
      </x:c>
      <x:c r="H16" s="28" t="str">
        <x:v>Open; closure evidence required</x:v>
      </x:c>
      <x:c r="I16" s="4"/>
      <x:c r="J16" s="4"/>
      <x:c r="K16" s="4"/>
      <x:c r="L16" s="4"/>
      <x:c r="M16" s="4"/>
      <x:c r="N16" s="4"/>
      <x:c r="O16" s="4"/>
    </x:row>
    <x:row r="17" ht="110" customHeight="1">
      <x:c r="A17" s="28" t="str">
        <x:v>F13</x:v>
      </x:c>
      <x:c r="B17" s="28" t="str">
        <x:v>P0</x:v>
      </x:c>
      <x:c r="C17" s="28" t="str">
        <x:v>Financial product migration is incomplete</x:v>
      </x:c>
      <x:c r="D17" s="28" t="str">
        <x:v>Fresh source contract</x:v>
      </x:c>
      <x:c r="E17" s="28" t="str">
        <x:v>S13; S14; S15</x:v>
      </x:c>
      <x:c r="F17" s="28" t="str">
        <x:v>Contribution totals/rewards/referrals, reversals, ticket/shop commands and group workflows are not fully fulfilled by the new allocation core.</x:v>
      </x:c>
      <x:c r="G17" s="28" t="str">
        <x:v>Complete or explicitly disable each affected business capability; never label allocation-only contributions completed.</x:v>
      </x:c>
      <x:c r="H17" s="28" t="str">
        <x:v>Open; closure evidence required</x:v>
      </x:c>
      <x:c r="I17" s="4"/>
      <x:c r="J17" s="4"/>
      <x:c r="K17" s="4"/>
      <x:c r="L17" s="4"/>
      <x:c r="M17" s="4"/>
      <x:c r="N17" s="4"/>
      <x:c r="O17" s="4"/>
    </x:row>
    <x:row r="18" ht="110" customHeight="1">
      <x:c r="A18" s="28" t="str">
        <x:v>F14</x:v>
      </x:c>
      <x:c r="B18" s="28" t="str">
        <x:v>P0</x:v>
      </x:c>
      <x:c r="C18" s="28" t="str">
        <x:v>Historical claims and final consistent backup unproven</x:v>
      </x:c>
      <x:c r="D18" s="28" t="str">
        <x:v>Dated repository evidence</x:v>
      </x:c>
      <x:c r="E18" s="28" t="str">
        <x:v>S06; S13; W09</x:v>
      </x:c>
      <x:c r="F18" s="28" t="str">
        <x:v>Incomplete payment history allows reuse risk; missing media and inconsistent export prevent defensible retirement.</x:v>
      </x:c>
      <x:c r="G18" s="28" t="str">
        <x:v>Reconcile historical claims, take consistent cutover exports, restore all dependencies and verify object originals.</x:v>
      </x:c>
      <x:c r="H18" s="28" t="str">
        <x:v>Open; closure evidence required</x:v>
      </x:c>
      <x:c r="I18" s="4"/>
      <x:c r="J18" s="4"/>
      <x:c r="K18" s="4"/>
      <x:c r="L18" s="4"/>
      <x:c r="M18" s="4"/>
      <x:c r="N18" s="4"/>
      <x:c r="O18" s="4"/>
    </x:row>
    <x:row r="19" ht="110" customHeight="1">
      <x:c r="A19" s="28" t="str">
        <x:v>F15</x:v>
      </x:c>
      <x:c r="B19" s="28" t="str">
        <x:v>P1</x:v>
      </x:c>
      <x:c r="C19" s="28" t="str">
        <x:v>All-D1 suitability is not yet production-proven</x:v>
      </x:c>
      <x:c r="D19" s="28" t="str">
        <x:v>Architecture risk</x:v>
      </x:c>
      <x:c r="E19" s="28" t="str">
        <x:v>S13; S14; W02; W03; W04</x:v>
      </x:c>
      <x:c r="F19" s="28" t="str">
        <x:v>Shared global deduplication, trigger-heavy writes, limits and cross-region latency require workload-specific proof.</x:v>
      </x:c>
      <x:c r="G19" s="28" t="str">
        <x:v>Measure actual D1 transactions and game-day load before final persistence decision; retain global claim authority.</x:v>
      </x:c>
      <x:c r="H19" s="28" t="str">
        <x:v>Open; closure evidence required</x:v>
      </x:c>
      <x:c r="I19" s="4"/>
      <x:c r="J19" s="4"/>
      <x:c r="K19" s="4"/>
      <x:c r="L19" s="4"/>
      <x:c r="M19" s="4"/>
      <x:c r="N19" s="4"/>
      <x:c r="O19" s="4"/>
    </x:row>
    <x:row r="20" ht="110" customHeight="1">
      <x:c r="A20" s="28" t="str">
        <x:v>F16</x:v>
      </x:c>
      <x:c r="B20" s="28" t="str">
        <x:v>P0</x:v>
      </x:c>
      <x:c r="C20" s="28" t="str">
        <x:v>Foreign storage authorization has not been evidenced</x:v>
      </x:c>
      <x:c r="D20" s="28" t="str">
        <x:v>External requirement + source architecture</x:v>
      </x:c>
      <x:c r="E20" s="28" t="str">
        <x:v>S10; S13; W04; W19; W20; W21; W22</x:v>
      </x:c>
      <x:c r="F20" s="28" t="str">
        <x:v>D1 is not documented as running in Africa; relevant Rwanda personal-data storage requires an authorization assessment.</x:v>
      </x:c>
      <x:c r="G20" s="28" t="str">
        <x:v>Map data/replicas/backups/processors and obtain valid applicable registrations and foreign-storage authorization before imports.</x:v>
      </x:c>
      <x:c r="H20" s="28" t="str">
        <x:v>Open; closure evidence required</x:v>
      </x:c>
      <x:c r="I20" s="4"/>
      <x:c r="J20" s="4"/>
      <x:c r="K20" s="4"/>
      <x:c r="L20" s="4"/>
      <x:c r="M20" s="4"/>
      <x:c r="N20" s="4"/>
      <x:c r="O20" s="4"/>
    </x:row>
    <x:row r="21" ht="110" customHeight="1">
      <x:c r="A21" s="28" t="str">
        <x:v>F17</x:v>
      </x:c>
      <x:c r="B21" s="28" t="str">
        <x:v>P1</x:v>
      </x:c>
      <x:c r="C21" s="28" t="str">
        <x:v>Native adapters are not platform-accepted or integrated</x:v>
      </x:c>
      <x:c r="D21" s="28" t="str">
        <x:v>Prior implementation evidence + current source</x:v>
      </x:c>
      <x:c r="E21" s="28" t="str">
        <x:v>S11; S32; S33; W12; W17</x:v>
      </x:c>
      <x:c r="F21" s="28" t="str">
        <x:v>Portable JVM/Swift tests do not prove Android Keystore, Apple Keychain, Dart, Flutter or ten signed club/platform targets.</x:v>
      </x:c>
      <x:c r="G21" s="28" t="str">
        <x:v>Compile actual hosts, integrate protected credentials/storage, register plugins and execute physical-device journeys.</x:v>
      </x:c>
      <x:c r="H21" s="28" t="str">
        <x:v>Open; closure evidence required</x:v>
      </x:c>
      <x:c r="I21" s="4"/>
      <x:c r="J21" s="4"/>
      <x:c r="K21" s="4"/>
      <x:c r="L21" s="4"/>
      <x:c r="M21" s="4"/>
      <x:c r="N21" s="4"/>
      <x:c r="O21" s="4"/>
    </x:row>
    <x:row r="22" ht="110" customHeight="1">
      <x:c r="A22" s="28" t="str">
        <x:v>F18</x:v>
      </x:c>
      <x:c r="B22" s="28" t="str">
        <x:v>P0</x:v>
      </x:c>
      <x:c r="C22" s="28" t="str">
        <x:v>Local state loss leaves unresolved payment attempts unsafe</x:v>
      </x:c>
      <x:c r="D22" s="28" t="str">
        <x:v>Source-admitted limitation</x:v>
      </x:c>
      <x:c r="E22" s="28" t="str">
        <x:v>S32; S33; S11</x:v>
      </x:c>
      <x:c r="F22" s="28" t="str">
        <x:v>Uninstall/clear-data can remove local reservations; a new installation cannot infer whether an earlier payment occurred.</x:v>
      </x:c>
      <x:c r="G22" s="28" t="str">
        <x:v>Add server-authoritative recovery and late/unknown-payment operations; do not clear uncertainty on local reset or expiry.</x:v>
      </x:c>
      <x:c r="H22" s="28" t="str">
        <x:v>Open; closure evidence required</x:v>
      </x:c>
      <x:c r="I22" s="4"/>
      <x:c r="J22" s="4"/>
      <x:c r="K22" s="4"/>
      <x:c r="L22" s="4"/>
      <x:c r="M22" s="4"/>
      <x:c r="N22" s="4"/>
      <x:c r="O22" s="4"/>
    </x:row>
    <x:row r="23" ht="110" customHeight="1">
      <x:c r="A23" s="28" t="str">
        <x:v>F19</x:v>
      </x:c>
      <x:c r="B23" s="28" t="str">
        <x:v>P0</x:v>
      </x:c>
      <x:c r="C23" s="28" t="str">
        <x:v>Predict economics remain inconsistent with governing free-entry policy</x:v>
      </x:c>
      <x:c r="D23" s="28" t="str">
        <x:v>Current and historical source conflict</x:v>
      </x:c>
      <x:c r="E23" s="28" t="str">
        <x:v>S16; S17; S18; S19; W15</x:v>
      </x:c>
      <x:c r="F23" s="28" t="str">
        <x:v>A 100-FET debit/pool contract must not be promoted by nomenclature changes or flags alone.</x:v>
      </x:c>
      <x:c r="G23" s="28" t="str">
        <x:v>Record approved economics and territories, align API/ledger/UI/tests, retain historic records and disable unresolved transactional behavior.</x:v>
      </x:c>
      <x:c r="H23" s="28" t="str">
        <x:v>Open; closure evidence required</x:v>
      </x:c>
      <x:c r="I23" s="4"/>
      <x:c r="J23" s="4"/>
      <x:c r="K23" s="4"/>
      <x:c r="L23" s="4"/>
      <x:c r="M23" s="4"/>
      <x:c r="N23" s="4"/>
      <x:c r="O23" s="4"/>
    </x:row>
    <x:row r="24" ht="110" customHeight="1">
      <x:c r="A24" s="28" t="str">
        <x:v>F20</x:v>
      </x:c>
      <x:c r="B24" s="28" t="str">
        <x:v>P1</x:v>
      </x:c>
      <x:c r="C24" s="28" t="str">
        <x:v>No completed integrated visual/accessibility evidence registry</x:v>
      </x:c>
      <x:c r="D24" s="28" t="str">
        <x:v>Fresh source</x:v>
      </x:c>
      <x:c r="E24" s="28" t="str">
        <x:v>S03; S20; S21; W14</x:v>
      </x:c>
      <x:c r="F24" s="28" t="str">
        <x:v>Empty registries and structurally passing checks are not design acceptance; payment confirmation is safety-critical.</x:v>
      </x:c>
      <x:c r="G24" s="28" t="str">
        <x:v>Run accessible real journeys and link approval to exact artifacts, states, clubs and platform versions.</x:v>
      </x:c>
      <x:c r="H24" s="28" t="str">
        <x:v>Open; closure evidence required</x:v>
      </x:c>
      <x:c r="I24" s="4"/>
      <x:c r="J24" s="4"/>
      <x:c r="K24" s="4"/>
      <x:c r="L24" s="4"/>
      <x:c r="M24" s="4"/>
      <x:c r="N24" s="4"/>
      <x:c r="O24" s="4"/>
    </x:row>
    <x:row r="25" ht="110" customHeight="1">
      <x:c r="A25" s="28" t="str">
        <x:v>F21</x:v>
      </x:c>
      <x:c r="B25" s="28" t="str">
        <x:v>P1</x:v>
      </x:c>
      <x:c r="C25" s="28" t="str">
        <x:v>Browser/member portal and broad admin migration remain separate</x:v>
      </x:c>
      <x:c r="D25" s="28" t="str">
        <x:v>Fresh source contracts</x:v>
      </x:c>
      <x:c r="E25" s="28" t="str">
        <x:v>S01; S11; S19; S26</x:v>
      </x:c>
      <x:c r="F25" s="28" t="str">
        <x:v>Native-only bearer gateway rejects browser cookies/origin and cannot replace the existing web membership product.</x:v>
      </x:c>
      <x:c r="G25" s="28" t="str">
        <x:v>Design browser sessions/CSRF and complete role-scoped administration, not a generic consumer-token shortcut.</x:v>
      </x:c>
      <x:c r="H25" s="28" t="str">
        <x:v>Open; closure evidence required</x:v>
      </x:c>
      <x:c r="I25" s="4"/>
      <x:c r="J25" s="4"/>
      <x:c r="K25" s="4"/>
      <x:c r="L25" s="4"/>
      <x:c r="M25" s="4"/>
      <x:c r="N25" s="4"/>
      <x:c r="O25" s="4"/>
    </x:row>
    <x:row r="26" ht="110" customHeight="1">
      <x:c r="A26" s="28" t="str">
        <x:v>F22</x:v>
      </x:c>
      <x:c r="B26" s="28" t="str">
        <x:v>P1</x:v>
      </x:c>
      <x:c r="C26" s="28" t="str">
        <x:v>Operational delivery, monitoring and recovery are incomplete</x:v>
      </x:c>
      <x:c r="D26" s="28" t="str">
        <x:v>Fresh source contracts</x:v>
      </x:c>
      <x:c r="E26" s="28" t="str">
        <x:v>S12; S13; W07</x:v>
      </x:c>
      <x:c r="F26" s="28" t="str">
        <x:v>Local outbox acknowledgement does not prove notification delivery; silent disabled logging prevents operational acceptance.</x:v>
      </x:c>
      <x:c r="G26" s="28" t="str">
        <x:v>Implement idempotent consumers, DLQs, privacy-safe telemetry, on-call runbooks and restore drills.</x:v>
      </x:c>
      <x:c r="H26" s="28" t="str">
        <x:v>Open; closure evidence required</x:v>
      </x:c>
      <x:c r="I26" s="4"/>
      <x:c r="J26" s="4"/>
      <x:c r="K26" s="4"/>
      <x:c r="L26" s="4"/>
      <x:c r="M26" s="4"/>
      <x:c r="N26" s="4"/>
      <x:c r="O26" s="4"/>
    </x:row>
    <x:row r="27" ht="110" customHeight="1">
      <x:c r="A27" s="28" t="str">
        <x:v>F23</x:v>
      </x:c>
      <x:c r="B27" s="28" t="str">
        <x:v>P1</x:v>
      </x:c>
      <x:c r="C27" s="28" t="str">
        <x:v>Five-club commercial/store readiness is not established</x:v>
      </x:c>
      <x:c r="D27" s="28" t="str">
        <x:v>Fresh source + external policy</x:v>
      </x:c>
      <x:c r="E27" s="28" t="str">
        <x:v>S01; S22; W15; W17; W18</x:v>
      </x:c>
      <x:c r="F27" s="28" t="str">
        <x:v>Five configured shells are not ten accepted mobile products; Costa still has explicit identity/payment inputs.</x:v>
      </x:c>
      <x:c r="G27" s="28" t="str">
        <x:v>Approve each club’s IDs, rights, accounts, routes, bills, submission ownership and platform/territory feature matrix.</x:v>
      </x:c>
      <x:c r="H27" s="28" t="str">
        <x:v>Open; closure evidence required</x:v>
      </x:c>
      <x:c r="I27" s="4"/>
      <x:c r="J27" s="4"/>
      <x:c r="K27" s="4"/>
      <x:c r="L27" s="4"/>
      <x:c r="M27" s="4"/>
      <x:c r="N27" s="4"/>
      <x:c r="O27" s="4"/>
    </x:row>
    <x:row r="28" ht="110" customHeight="1">
      <x:c r="A28" s="28" t="str">
        <x:v>F24</x:v>
      </x:c>
      <x:c r="B28" s="28" t="str">
        <x:v>P1</x:v>
      </x:c>
      <x:c r="C28" s="28" t="str">
        <x:v>Governance registers and documents do not reflect one current contract</x:v>
      </x:c>
      <x:c r="D28" s="28" t="str">
        <x:v>Fresh source</x:v>
      </x:c>
      <x:c r="E28" s="28" t="str">
        <x:v>S01; S19; S22; S28; S29</x:v>
      </x:c>
      <x:c r="F28" s="28" t="str">
        <x:v>Seven-row installed inventory, stale offline routes and competing design authority obscure real scope and completion.</x:v>
      </x:c>
      <x:c r="G28" s="28" t="str">
        <x:v>Normalize unique task/object IDs, source-of-truth hierarchy and decision records; preserve dated evidence without treating it as current.</x:v>
      </x:c>
      <x:c r="H28" s="28" t="str">
        <x:v>Open; closure evidence required</x:v>
      </x:c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H2"/>
  </x:mergeCells>
  <x:pageMargins left="0.7" right="0.7" top="0.75" bottom="0.75" header="0.3" footer="0.3"/>
  <x:tableParts count="1">
    <x:tablePart xmlns:r="http://schemas.openxmlformats.org/officeDocument/2006/relationships" r:id="R125c479a4fbc4bde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30" hidden="0" customWidth="1"/>
    <x:col min="3" max="3" width="55" hidden="0" customWidth="1"/>
    <x:col min="4" max="4" width="32" hidden="0" customWidth="1"/>
    <x:col min="5" max="5" width="30" hidden="0" customWidth="1"/>
    <x:col min="6" max="6" width="22" hidden="0" customWidth="1"/>
  </x:cols>
  <x:sheetData>
    <x:row r="1" ht="24" customHeight="1">
      <x:c r="A1" s="8" t="str">
        <x:v>AFRICLUB | Independent release gates</x:v>
      </x:c>
      <x:c r="B1" s="8"/>
      <x:c r="C1" s="8"/>
      <x:c r="D1" s="8"/>
      <x:c r="E1" s="8"/>
      <x:c r="F1" s="8"/>
      <x:c r="G1" s="4"/>
      <x:c r="H1" s="4"/>
      <x:c r="I1" s="4"/>
      <x:c r="J1" s="4"/>
      <x:c r="K1" s="4"/>
      <x:c r="L1" s="4"/>
      <x:c r="M1" s="4"/>
      <x:c r="N1" s="4"/>
      <x:c r="O1" s="4"/>
    </x:row>
    <x:row r="2" ht="24" customHeight="1">
      <x:c r="A2" s="8"/>
      <x:c r="B2" s="8"/>
      <x:c r="C2" s="8"/>
      <x:c r="D2" s="8"/>
      <x:c r="E2" s="8"/>
      <x:c r="F2" s="8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30" customHeight="1">
      <x:c r="A4" s="23" t="str">
        <x:v>Gate</x:v>
      </x:c>
      <x:c r="B4" s="23" t="str">
        <x:v>Decision</x:v>
      </x:c>
      <x:c r="C4" s="23" t="str">
        <x:v>Acceptance standard</x:v>
      </x:c>
      <x:c r="D4" s="23" t="str">
        <x:v>Task references</x:v>
      </x:c>
      <x:c r="E4" s="23" t="str">
        <x:v>Approvers</x:v>
      </x:c>
      <x:c r="F4" s="23" t="str">
        <x:v>Status</x:v>
      </x:c>
      <x:c r="G4" s="4"/>
      <x:c r="H4" s="4"/>
      <x:c r="I4" s="4"/>
      <x:c r="J4" s="4"/>
      <x:c r="K4" s="4"/>
      <x:c r="L4" s="4"/>
      <x:c r="M4" s="4"/>
      <x:c r="N4" s="4"/>
      <x:c r="O4" s="4"/>
    </x:row>
    <x:row r="5" ht="100" customHeight="1">
      <x:c r="A5" s="18" t="str">
        <x:v>G0</x:v>
      </x:c>
      <x:c r="B5" s="18" t="str">
        <x:v>Contain and establish authority</x:v>
      </x:c>
      <x:c r="C5" s="18" t="str">
        <x:v>Unsafe access restricted; incident/key review; applicable privacy constraints identified.</x:v>
      </x:c>
      <x:c r="D5" s="18" t="str">
        <x:v>SEC-01–06; REG-01; REP-01</x:v>
      </x:c>
      <x:c r="E5" s="18" t="str">
        <x:v>Security / privacy lead</x:v>
      </x:c>
      <x:c r="F5" s="18" t="str">
        <x:v>Not closed</x:v>
      </x:c>
      <x:c r="G5" s="4"/>
      <x:c r="H5" s="4"/>
      <x:c r="I5" s="4"/>
      <x:c r="J5" s="4"/>
      <x:c r="K5" s="4"/>
      <x:c r="L5" s="4"/>
      <x:c r="M5" s="4"/>
      <x:c r="N5" s="4"/>
      <x:c r="O5" s="4"/>
    </x:row>
    <x:row r="6" ht="100" customHeight="1">
      <x:c r="A6" s="18" t="str">
        <x:v>G1</x:v>
      </x:c>
      <x:c r="B6" s="18" t="str">
        <x:v>Converge source</x:v>
      </x:c>
      <x:c r="C6" s="18" t="str">
        <x:v>Protected candidate; reviewed patches; actual-source validators; pinned build and manifests.</x:v>
      </x:c>
      <x:c r="D6" s="18" t="str">
        <x:v>REP-01–10; QAT-01/02</x:v>
      </x:c>
      <x:c r="E6" s="18" t="str">
        <x:v>Repository / release lead</x:v>
      </x:c>
      <x:c r="F6" s="18" t="str">
        <x:v>Not closed</x:v>
      </x:c>
      <x:c r="G6" s="4"/>
      <x:c r="H6" s="4"/>
      <x:c r="I6" s="4"/>
      <x:c r="J6" s="4"/>
      <x:c r="K6" s="4"/>
      <x:c r="L6" s="4"/>
      <x:c r="M6" s="4"/>
      <x:c r="N6" s="4"/>
      <x:c r="O6" s="4"/>
    </x:row>
    <x:row r="7" ht="100" customHeight="1">
      <x:c r="A7" s="18" t="str">
        <x:v>G2</x:v>
      </x:c>
      <x:c r="B7" s="18" t="str">
        <x:v>Prove foundations</x:v>
      </x:c>
      <x:c r="C7" s="18" t="str">
        <x:v>Real runtime transaction/authorization tests; data/claims/backup parity; approved economics and architecture.</x:v>
      </x:c>
      <x:c r="D7" s="18" t="str">
        <x:v>ARC; DAT; AUT; PRD-01; REG</x:v>
      </x:c>
      <x:c r="E7" s="18" t="str">
        <x:v>Architecture / data / identity</x:v>
      </x:c>
      <x:c r="F7" s="18" t="str">
        <x:v>Not closed</x:v>
      </x:c>
      <x:c r="G7" s="4"/>
      <x:c r="H7" s="4"/>
      <x:c r="I7" s="4"/>
      <x:c r="J7" s="4"/>
      <x:c r="K7" s="4"/>
      <x:c r="L7" s="4"/>
      <x:c r="M7" s="4"/>
      <x:c r="N7" s="4"/>
      <x:c r="O7" s="4"/>
    </x:row>
    <x:row r="8" ht="100" customHeight="1">
      <x:c r="A8" s="18" t="str">
        <x:v>G3</x:v>
      </x:c>
      <x:c r="B8" s="18" t="str">
        <x:v>Integrate and accept</x:v>
      </x:c>
      <x:c r="C8" s="18" t="str">
        <x:v>Native/browser/provider journeys; financial exceptions; independent security, accessibility and operational drills.</x:v>
      </x:c>
      <x:c r="D8" s="18" t="str">
        <x:v>PAY; MOB; WEB; QAT; OPS</x:v>
      </x:c>
      <x:c r="E8" s="18" t="str">
        <x:v>QA / finance / mobile / ops</x:v>
      </x:c>
      <x:c r="F8" s="18" t="str">
        <x:v>Not closed</x:v>
      </x:c>
      <x:c r="G8" s="4"/>
      <x:c r="H8" s="4"/>
      <x:c r="I8" s="4"/>
      <x:c r="J8" s="4"/>
      <x:c r="K8" s="4"/>
      <x:c r="L8" s="4"/>
      <x:c r="M8" s="4"/>
      <x:c r="N8" s="4"/>
      <x:c r="O8" s="4"/>
    </x:row>
    <x:row r="9" ht="100" customHeight="1">
      <x:c r="A9" s="18" t="str">
        <x:v>G4</x:v>
      </x:c>
      <x:c r="B9" s="18" t="str">
        <x:v>Controlled launch</x:v>
      </x:c>
      <x:c r="C9" s="18" t="str">
        <x:v>Exact artifact approvals; rehearsed one-writer cutover and post-write rollback; measured pilot.</x:v>
      </x:c>
      <x:c r="D9" s="18" t="str">
        <x:v>REL-01–08</x:v>
      </x:c>
      <x:c r="E9" s="18" t="str">
        <x:v>Release manager and club owners</x:v>
      </x:c>
      <x:c r="F9" s="18" t="str">
        <x:v>Not closed</x:v>
      </x:c>
      <x:c r="G9" s="4"/>
      <x:c r="H9" s="4"/>
      <x:c r="I9" s="4"/>
      <x:c r="J9" s="4"/>
      <x:c r="K9" s="4"/>
      <x:c r="L9" s="4"/>
      <x:c r="M9" s="4"/>
      <x:c r="N9" s="4"/>
      <x:c r="O9" s="4"/>
    </x:row>
    <x:row r="10" ht="100" customHeight="1">
      <x:c r="A10" s="18" t="str">
        <x:v>G5</x:v>
      </x:c>
      <x:c r="B10" s="18" t="str">
        <x:v>Retire safely</x:v>
      </x:c>
      <x:c r="C10" s="18" t="str">
        <x:v>No dependencies or stranded obligations; restore/retention proved; prior keys and jobs retired.</x:v>
      </x:c>
      <x:c r="D10" s="18" t="str">
        <x:v>REL-09/10</x:v>
      </x:c>
      <x:c r="E10" s="18" t="str">
        <x:v>Release / data / security</x:v>
      </x:c>
      <x:c r="F10" s="18" t="str">
        <x:v>Not closed</x:v>
      </x:c>
      <x:c r="G10" s="4"/>
      <x:c r="H10" s="4"/>
      <x:c r="I10" s="4"/>
      <x:c r="J10" s="4"/>
      <x:c r="K10" s="4"/>
      <x:c r="L10" s="4"/>
      <x:c r="M10" s="4"/>
      <x:c r="N10" s="4"/>
      <x:c r="O10" s="4"/>
    </x:row>
    <x:row r="11">
      <x:c r="A11" s="4"/>
      <x:c r="B11" s="4"/>
      <x:c r="C11" s="4"/>
      <x:c r="D11" s="4"/>
      <x:c r="E11" s="4"/>
      <x:c r="F11" s="4"/>
      <x:c r="G11" s="4"/>
      <x:c r="H11" s="4"/>
      <x:c r="I11" s="4"/>
      <x:c r="J11" s="4"/>
      <x:c r="K11" s="4"/>
      <x:c r="L11" s="4"/>
      <x:c r="M11" s="4"/>
      <x:c r="N11" s="4"/>
      <x:c r="O11" s="4"/>
    </x:row>
    <x:row r="12">
      <x:c r="A12" s="4"/>
      <x:c r="B12" s="4"/>
      <x:c r="C12" s="4"/>
      <x:c r="D12" s="4"/>
      <x:c r="E12" s="4"/>
      <x:c r="F12" s="4"/>
      <x:c r="G12" s="4"/>
      <x:c r="H12" s="4"/>
      <x:c r="I12" s="4"/>
      <x:c r="J12" s="4"/>
      <x:c r="K12" s="4"/>
      <x:c r="L12" s="4"/>
      <x:c r="M12" s="4"/>
      <x:c r="N12" s="4"/>
      <x:c r="O12" s="4"/>
    </x:row>
    <x:row r="13">
      <x:c r="A13" s="4"/>
      <x:c r="B13" s="4"/>
      <x:c r="C13" s="4"/>
      <x:c r="D13" s="4"/>
      <x:c r="E13" s="4"/>
      <x:c r="F13" s="4"/>
      <x:c r="G13" s="4"/>
      <x:c r="H13" s="4"/>
      <x:c r="I13" s="4"/>
      <x:c r="J13" s="4"/>
      <x:c r="K13" s="4"/>
      <x:c r="L13" s="4"/>
      <x:c r="M13" s="4"/>
      <x:c r="N13" s="4"/>
      <x:c r="O13" s="4"/>
    </x:row>
    <x:row r="14">
      <x:c r="A14" s="4"/>
      <x:c r="B14" s="4"/>
      <x:c r="C14" s="4"/>
      <x:c r="D14" s="4"/>
      <x:c r="E14" s="4"/>
      <x:c r="F14" s="4"/>
      <x:c r="G14" s="4"/>
      <x:c r="H14" s="4"/>
      <x:c r="I14" s="4"/>
      <x:c r="J14" s="4"/>
      <x:c r="K14" s="4"/>
      <x:c r="L14" s="4"/>
      <x:c r="M14" s="4"/>
      <x:c r="N14" s="4"/>
      <x:c r="O14" s="4"/>
    </x:row>
    <x:row r="15">
      <x:c r="A15" s="4"/>
      <x:c r="B15" s="4"/>
      <x:c r="C15" s="4"/>
      <x:c r="D15" s="4"/>
      <x:c r="E15" s="4"/>
      <x:c r="F15" s="4"/>
      <x:c r="G15" s="4"/>
      <x:c r="H15" s="4"/>
      <x:c r="I15" s="4"/>
      <x:c r="J15" s="4"/>
      <x:c r="K15" s="4"/>
      <x:c r="L15" s="4"/>
      <x:c r="M15" s="4"/>
      <x:c r="N15" s="4"/>
      <x:c r="O15" s="4"/>
    </x:row>
    <x:row r="16">
      <x:c r="A16" s="4"/>
      <x:c r="B16" s="4"/>
      <x:c r="C16" s="4"/>
      <x:c r="D16" s="4"/>
      <x:c r="E16" s="4"/>
      <x:c r="F16" s="4"/>
      <x:c r="G16" s="4"/>
      <x:c r="H16" s="4"/>
      <x:c r="I16" s="4"/>
      <x:c r="J16" s="4"/>
      <x:c r="K16" s="4"/>
      <x:c r="L16" s="4"/>
      <x:c r="M16" s="4"/>
      <x:c r="N16" s="4"/>
      <x:c r="O16" s="4"/>
    </x:row>
    <x:row r="17">
      <x:c r="A17" s="4"/>
      <x:c r="B17" s="4"/>
      <x:c r="C17" s="4"/>
      <x:c r="D17" s="4"/>
      <x:c r="E17" s="4"/>
      <x:c r="F17" s="4"/>
      <x:c r="G17" s="4"/>
      <x:c r="H17" s="4"/>
      <x:c r="I17" s="4"/>
      <x:c r="J17" s="4"/>
      <x:c r="K17" s="4"/>
      <x:c r="L17" s="4"/>
      <x:c r="M17" s="4"/>
      <x:c r="N17" s="4"/>
      <x:c r="O17" s="4"/>
    </x:row>
    <x:row r="18">
      <x:c r="A18" s="4"/>
      <x:c r="B18" s="4"/>
      <x:c r="C18" s="4"/>
      <x:c r="D18" s="4"/>
      <x:c r="E18" s="4"/>
      <x:c r="F18" s="4"/>
      <x:c r="G18" s="4"/>
      <x:c r="H18" s="4"/>
      <x:c r="I18" s="4"/>
      <x:c r="J18" s="4"/>
      <x:c r="K18" s="4"/>
      <x:c r="L18" s="4"/>
      <x:c r="M18" s="4"/>
      <x:c r="N18" s="4"/>
      <x:c r="O18" s="4"/>
    </x:row>
    <x:row r="19">
      <x:c r="A19" s="4"/>
      <x:c r="B19" s="4"/>
      <x:c r="C19" s="4"/>
      <x:c r="D19" s="4"/>
      <x:c r="E19" s="4"/>
      <x:c r="F19" s="4"/>
      <x:c r="G19" s="4"/>
      <x:c r="H19" s="4"/>
      <x:c r="I19" s="4"/>
      <x:c r="J19" s="4"/>
      <x:c r="K19" s="4"/>
      <x:c r="L19" s="4"/>
      <x:c r="M19" s="4"/>
      <x:c r="N19" s="4"/>
      <x:c r="O19" s="4"/>
    </x:row>
    <x:row r="20">
      <x:c r="A20" s="4"/>
      <x:c r="B20" s="4"/>
      <x:c r="C20" s="4"/>
      <x:c r="D20" s="4"/>
      <x:c r="E20" s="4"/>
      <x:c r="F20" s="4"/>
      <x:c r="G20" s="4"/>
      <x:c r="H20" s="4"/>
      <x:c r="I20" s="4"/>
      <x:c r="J20" s="4"/>
      <x:c r="K20" s="4"/>
      <x:c r="L20" s="4"/>
      <x:c r="M20" s="4"/>
      <x:c r="N20" s="4"/>
      <x:c r="O20" s="4"/>
    </x:row>
    <x:row r="21">
      <x:c r="A21" s="4"/>
      <x:c r="B21" s="4"/>
      <x:c r="C21" s="4"/>
      <x:c r="D21" s="4"/>
      <x:c r="E21" s="4"/>
      <x:c r="F21" s="4"/>
      <x:c r="G21" s="4"/>
      <x:c r="H21" s="4"/>
      <x:c r="I21" s="4"/>
      <x:c r="J21" s="4"/>
      <x:c r="K21" s="4"/>
      <x:c r="L21" s="4"/>
      <x:c r="M21" s="4"/>
      <x:c r="N21" s="4"/>
      <x:c r="O21" s="4"/>
    </x:row>
    <x:row r="22">
      <x:c r="A22" s="4"/>
      <x:c r="B22" s="4"/>
      <x:c r="C22" s="4"/>
      <x:c r="D22" s="4"/>
      <x:c r="E22" s="4"/>
      <x:c r="F22" s="4"/>
      <x:c r="G22" s="4"/>
      <x:c r="H22" s="4"/>
      <x:c r="I22" s="4"/>
      <x:c r="J22" s="4"/>
      <x:c r="K22" s="4"/>
      <x:c r="L22" s="4"/>
      <x:c r="M22" s="4"/>
      <x:c r="N22" s="4"/>
      <x:c r="O22" s="4"/>
    </x:row>
    <x:row r="23">
      <x:c r="A23" s="4"/>
      <x:c r="B23" s="4"/>
      <x:c r="C23" s="4"/>
      <x:c r="D23" s="4"/>
      <x:c r="E23" s="4"/>
      <x:c r="F23" s="4"/>
      <x:c r="G23" s="4"/>
      <x:c r="H23" s="4"/>
      <x:c r="I23" s="4"/>
      <x:c r="J23" s="4"/>
      <x:c r="K23" s="4"/>
      <x:c r="L23" s="4"/>
      <x:c r="M23" s="4"/>
      <x:c r="N23" s="4"/>
      <x:c r="O23" s="4"/>
    </x:row>
    <x:row r="24">
      <x:c r="A24" s="4"/>
      <x:c r="B24" s="4"/>
      <x:c r="C24" s="4"/>
      <x:c r="D24" s="4"/>
      <x:c r="E24" s="4"/>
      <x:c r="F24" s="4"/>
      <x:c r="G24" s="4"/>
      <x:c r="H24" s="4"/>
      <x:c r="I24" s="4"/>
      <x:c r="J24" s="4"/>
      <x:c r="K24" s="4"/>
      <x:c r="L24" s="4"/>
      <x:c r="M24" s="4"/>
      <x:c r="N24" s="4"/>
      <x:c r="O24" s="4"/>
    </x:row>
    <x:row r="25">
      <x:c r="A25" s="4"/>
      <x:c r="B25" s="4"/>
      <x:c r="C25" s="4"/>
      <x:c r="D25" s="4"/>
      <x:c r="E25" s="4"/>
      <x:c r="F25" s="4"/>
      <x:c r="G25" s="4"/>
      <x:c r="H25" s="4"/>
      <x:c r="I25" s="4"/>
      <x:c r="J25" s="4"/>
      <x:c r="K25" s="4"/>
      <x:c r="L25" s="4"/>
      <x:c r="M25" s="4"/>
      <x:c r="N25" s="4"/>
      <x:c r="O25" s="4"/>
    </x:row>
    <x:row r="26">
      <x:c r="A26" s="4"/>
      <x:c r="B26" s="4"/>
      <x:c r="C26" s="4"/>
      <x:c r="D26" s="4"/>
      <x:c r="E26" s="4"/>
      <x:c r="F26" s="4"/>
      <x:c r="G26" s="4"/>
      <x:c r="H26" s="4"/>
      <x:c r="I26" s="4"/>
      <x:c r="J26" s="4"/>
      <x:c r="K26" s="4"/>
      <x:c r="L26" s="4"/>
      <x:c r="M26" s="4"/>
      <x:c r="N26" s="4"/>
      <x:c r="O26" s="4"/>
    </x:row>
    <x:row r="27">
      <x:c r="A27" s="4"/>
      <x:c r="B27" s="4"/>
      <x:c r="C27" s="4"/>
      <x:c r="D27" s="4"/>
      <x:c r="E27" s="4"/>
      <x:c r="F27" s="4"/>
      <x:c r="G27" s="4"/>
      <x:c r="H27" s="4"/>
      <x:c r="I27" s="4"/>
      <x:c r="J27" s="4"/>
      <x:c r="K27" s="4"/>
      <x:c r="L27" s="4"/>
      <x:c r="M27" s="4"/>
      <x:c r="N27" s="4"/>
      <x:c r="O27" s="4"/>
    </x:row>
    <x:row r="28">
      <x:c r="A28" s="4"/>
      <x:c r="B28" s="4"/>
      <x:c r="C28" s="4"/>
      <x:c r="D28" s="4"/>
      <x:c r="E28" s="4"/>
      <x:c r="F28" s="4"/>
      <x:c r="G28" s="4"/>
      <x:c r="H28" s="4"/>
      <x:c r="I28" s="4"/>
      <x:c r="J28" s="4"/>
      <x:c r="K28" s="4"/>
      <x:c r="L28" s="4"/>
      <x:c r="M28" s="4"/>
      <x:c r="N28" s="4"/>
      <x:c r="O28" s="4"/>
    </x:row>
    <x:row r="29">
      <x:c r="A29" s="4"/>
      <x:c r="B29" s="4"/>
      <x:c r="C29" s="4"/>
      <x:c r="D29" s="4"/>
      <x:c r="E29" s="4"/>
      <x:c r="F29" s="4"/>
      <x:c r="G29" s="4"/>
      <x:c r="H29" s="4"/>
      <x:c r="I29" s="4"/>
      <x:c r="J29" s="4"/>
      <x:c r="K29" s="4"/>
      <x:c r="L29" s="4"/>
      <x:c r="M29" s="4"/>
      <x:c r="N29" s="4"/>
      <x:c r="O29" s="4"/>
    </x:row>
    <x:row r="30">
      <x:c r="A30" s="4"/>
      <x:c r="B30" s="4"/>
      <x:c r="C30" s="4"/>
      <x:c r="D30" s="4"/>
      <x:c r="E30" s="4"/>
      <x:c r="F30" s="4"/>
      <x:c r="G30" s="4"/>
      <x:c r="H30" s="4"/>
      <x:c r="I30" s="4"/>
      <x:c r="J30" s="4"/>
      <x:c r="K30" s="4"/>
      <x:c r="L30" s="4"/>
      <x:c r="M30" s="4"/>
      <x:c r="N30" s="4"/>
      <x:c r="O30" s="4"/>
    </x:row>
    <x:row r="31">
      <x:c r="A31" s="4"/>
      <x:c r="B31" s="4"/>
      <x:c r="C31" s="4"/>
      <x:c r="D31" s="4"/>
      <x:c r="E31" s="4"/>
      <x:c r="F31" s="4"/>
      <x:c r="G31" s="4"/>
      <x:c r="H31" s="4"/>
      <x:c r="I31" s="4"/>
      <x:c r="J31" s="4"/>
      <x:c r="K31" s="4"/>
      <x:c r="L31" s="4"/>
      <x:c r="M31" s="4"/>
      <x:c r="N31" s="4"/>
      <x:c r="O31" s="4"/>
    </x:row>
    <x:row r="32">
      <x:c r="A32" s="4"/>
      <x:c r="B32" s="4"/>
      <x:c r="C32" s="4"/>
      <x:c r="D32" s="4"/>
      <x:c r="E32" s="4"/>
      <x:c r="F32" s="4"/>
      <x:c r="G32" s="4"/>
      <x:c r="H32" s="4"/>
      <x:c r="I32" s="4"/>
      <x:c r="J32" s="4"/>
      <x:c r="K32" s="4"/>
      <x:c r="L32" s="4"/>
      <x:c r="M32" s="4"/>
      <x:c r="N32" s="4"/>
      <x:c r="O32" s="4"/>
    </x:row>
    <x:row r="33">
      <x:c r="A33" s="4"/>
      <x:c r="B33" s="4"/>
      <x:c r="C33" s="4"/>
      <x:c r="D33" s="4"/>
      <x:c r="E33" s="4"/>
      <x:c r="F33" s="4"/>
      <x:c r="G33" s="4"/>
      <x:c r="H33" s="4"/>
      <x:c r="I33" s="4"/>
      <x:c r="J33" s="4"/>
      <x:c r="K33" s="4"/>
      <x:c r="L33" s="4"/>
      <x:c r="M33" s="4"/>
      <x:c r="N33" s="4"/>
      <x:c r="O33" s="4"/>
    </x:row>
    <x:row r="34">
      <x:c r="A34" s="4"/>
      <x:c r="B34" s="4"/>
      <x:c r="C34" s="4"/>
      <x:c r="D34" s="4"/>
      <x:c r="E34" s="4"/>
      <x:c r="F34" s="4"/>
      <x:c r="G34" s="4"/>
      <x:c r="H34" s="4"/>
      <x:c r="I34" s="4"/>
      <x:c r="J34" s="4"/>
      <x:c r="K34" s="4"/>
      <x:c r="L34" s="4"/>
      <x:c r="M34" s="4"/>
      <x:c r="N34" s="4"/>
      <x:c r="O34" s="4"/>
    </x:row>
    <x:row r="35">
      <x:c r="A35" s="4"/>
      <x:c r="B35" s="4"/>
      <x:c r="C35" s="4"/>
      <x:c r="D35" s="4"/>
      <x:c r="E35" s="4"/>
      <x:c r="F35" s="4"/>
      <x:c r="G35" s="4"/>
      <x:c r="H35" s="4"/>
      <x:c r="I35" s="4"/>
      <x:c r="J35" s="4"/>
      <x:c r="K35" s="4"/>
      <x:c r="L35" s="4"/>
      <x:c r="M35" s="4"/>
      <x:c r="N35" s="4"/>
      <x:c r="O35" s="4"/>
    </x:row>
    <x:row r="36">
      <x:c r="A36" s="4"/>
      <x:c r="B36" s="4"/>
      <x:c r="C36" s="4"/>
      <x:c r="D36" s="4"/>
      <x:c r="E36" s="4"/>
      <x:c r="F36" s="4"/>
      <x:c r="G36" s="4"/>
      <x:c r="H36" s="4"/>
      <x:c r="I36" s="4"/>
      <x:c r="J36" s="4"/>
      <x:c r="K36" s="4"/>
      <x:c r="L36" s="4"/>
      <x:c r="M36" s="4"/>
      <x:c r="N36" s="4"/>
      <x:c r="O36" s="4"/>
    </x:row>
    <x:row r="37">
      <x:c r="A37" s="4"/>
      <x:c r="B37" s="4"/>
      <x:c r="C37" s="4"/>
      <x:c r="D37" s="4"/>
      <x:c r="E37" s="4"/>
      <x:c r="F37" s="4"/>
      <x:c r="G37" s="4"/>
      <x:c r="H37" s="4"/>
      <x:c r="I37" s="4"/>
      <x:c r="J37" s="4"/>
      <x:c r="K37" s="4"/>
      <x:c r="L37" s="4"/>
      <x:c r="M37" s="4"/>
      <x:c r="N37" s="4"/>
      <x:c r="O37" s="4"/>
    </x:row>
    <x:row r="38">
      <x:c r="A38" s="4"/>
      <x:c r="B38" s="4"/>
      <x:c r="C38" s="4"/>
      <x:c r="D38" s="4"/>
      <x:c r="E38" s="4"/>
      <x:c r="F38" s="4"/>
      <x:c r="G38" s="4"/>
      <x:c r="H38" s="4"/>
      <x:c r="I38" s="4"/>
      <x:c r="J38" s="4"/>
      <x:c r="K38" s="4"/>
      <x:c r="L38" s="4"/>
      <x:c r="M38" s="4"/>
      <x:c r="N38" s="4"/>
      <x:c r="O38" s="4"/>
    </x:row>
    <x:row r="39">
      <x:c r="A39" s="4"/>
      <x:c r="B39" s="4"/>
      <x:c r="C39" s="4"/>
      <x:c r="D39" s="4"/>
      <x:c r="E39" s="4"/>
      <x:c r="F39" s="4"/>
      <x:c r="G39" s="4"/>
      <x:c r="H39" s="4"/>
      <x:c r="I39" s="4"/>
      <x:c r="J39" s="4"/>
      <x:c r="K39" s="4"/>
      <x:c r="L39" s="4"/>
      <x:c r="M39" s="4"/>
      <x:c r="N39" s="4"/>
      <x:c r="O39" s="4"/>
    </x:row>
    <x:row r="40">
      <x:c r="A40" s="4"/>
      <x:c r="B40" s="4"/>
      <x:c r="C40" s="4"/>
      <x:c r="D40" s="4"/>
      <x:c r="E40" s="4"/>
      <x:c r="F40" s="4"/>
      <x:c r="G40" s="4"/>
      <x:c r="H40" s="4"/>
      <x:c r="I40" s="4"/>
      <x:c r="J40" s="4"/>
      <x:c r="K40" s="4"/>
      <x:c r="L40" s="4"/>
      <x:c r="M40" s="4"/>
      <x:c r="N40" s="4"/>
      <x:c r="O40" s="4"/>
    </x:row>
    <x:row r="41">
      <x:c r="A41" s="4"/>
      <x:c r="B41" s="4"/>
      <x:c r="C41" s="4"/>
      <x:c r="D41" s="4"/>
      <x:c r="E41" s="4"/>
      <x:c r="F41" s="4"/>
      <x:c r="G41" s="4"/>
      <x:c r="H41" s="4"/>
      <x:c r="I41" s="4"/>
      <x:c r="J41" s="4"/>
      <x:c r="K41" s="4"/>
      <x:c r="L41" s="4"/>
      <x:c r="M41" s="4"/>
      <x:c r="N41" s="4"/>
      <x:c r="O41" s="4"/>
    </x:row>
    <x:row r="42">
      <x:c r="A42" s="4"/>
      <x:c r="B42" s="4"/>
      <x:c r="C42" s="4"/>
      <x:c r="D42" s="4"/>
      <x:c r="E42" s="4"/>
      <x:c r="F42" s="4"/>
      <x:c r="G42" s="4"/>
      <x:c r="H42" s="4"/>
      <x:c r="I42" s="4"/>
      <x:c r="J42" s="4"/>
      <x:c r="K42" s="4"/>
      <x:c r="L42" s="4"/>
      <x:c r="M42" s="4"/>
      <x:c r="N42" s="4"/>
      <x:c r="O42" s="4"/>
    </x:row>
    <x:row r="43">
      <x:c r="A43" s="4"/>
      <x:c r="B43" s="4"/>
      <x:c r="C43" s="4"/>
      <x:c r="D43" s="4"/>
      <x:c r="E43" s="4"/>
      <x:c r="F43" s="4"/>
      <x:c r="G43" s="4"/>
      <x:c r="H43" s="4"/>
      <x:c r="I43" s="4"/>
      <x:c r="J43" s="4"/>
      <x:c r="K43" s="4"/>
      <x:c r="L43" s="4"/>
      <x:c r="M43" s="4"/>
      <x:c r="N43" s="4"/>
      <x:c r="O43" s="4"/>
    </x:row>
    <x:row r="44">
      <x:c r="A44" s="4"/>
      <x:c r="B44" s="4"/>
      <x:c r="C44" s="4"/>
      <x:c r="D44" s="4"/>
      <x:c r="E44" s="4"/>
      <x:c r="F44" s="4"/>
      <x:c r="G44" s="4"/>
      <x:c r="H44" s="4"/>
      <x:c r="I44" s="4"/>
      <x:c r="J44" s="4"/>
      <x:c r="K44" s="4"/>
      <x:c r="L44" s="4"/>
      <x:c r="M44" s="4"/>
      <x:c r="N44" s="4"/>
      <x:c r="O44" s="4"/>
    </x:row>
    <x:row r="45">
      <x:c r="A45" s="4"/>
      <x:c r="B45" s="4"/>
      <x:c r="C45" s="4"/>
      <x:c r="D45" s="4"/>
      <x:c r="E45" s="4"/>
      <x:c r="F45" s="4"/>
      <x:c r="G45" s="4"/>
      <x:c r="H45" s="4"/>
      <x:c r="I45" s="4"/>
      <x:c r="J45" s="4"/>
      <x:c r="K45" s="4"/>
      <x:c r="L45" s="4"/>
      <x:c r="M45" s="4"/>
      <x:c r="N45" s="4"/>
      <x:c r="O45" s="4"/>
    </x:row>
    <x:row r="46">
      <x:c r="A46" s="4"/>
      <x:c r="B46" s="4"/>
      <x:c r="C46" s="4"/>
      <x:c r="D46" s="4"/>
      <x:c r="E46" s="4"/>
      <x:c r="F46" s="4"/>
      <x:c r="G46" s="4"/>
      <x:c r="H46" s="4"/>
      <x:c r="I46" s="4"/>
      <x:c r="J46" s="4"/>
      <x:c r="K46" s="4"/>
      <x:c r="L46" s="4"/>
      <x:c r="M46" s="4"/>
      <x:c r="N46" s="4"/>
      <x:c r="O46" s="4"/>
    </x:row>
    <x:row r="47">
      <x:c r="A47" s="4"/>
      <x:c r="B47" s="4"/>
      <x:c r="C47" s="4"/>
      <x:c r="D47" s="4"/>
      <x:c r="E47" s="4"/>
      <x:c r="F47" s="4"/>
      <x:c r="G47" s="4"/>
      <x:c r="H47" s="4"/>
      <x:c r="I47" s="4"/>
      <x:c r="J47" s="4"/>
      <x:c r="K47" s="4"/>
      <x:c r="L47" s="4"/>
      <x:c r="M47" s="4"/>
      <x:c r="N47" s="4"/>
      <x:c r="O47" s="4"/>
    </x:row>
    <x:row r="48">
      <x:c r="A48" s="4"/>
      <x:c r="B48" s="4"/>
      <x:c r="C48" s="4"/>
      <x:c r="D48" s="4"/>
      <x:c r="E48" s="4"/>
      <x:c r="F48" s="4"/>
      <x:c r="G48" s="4"/>
      <x:c r="H48" s="4"/>
      <x:c r="I48" s="4"/>
      <x:c r="J48" s="4"/>
      <x:c r="K48" s="4"/>
      <x:c r="L48" s="4"/>
      <x:c r="M48" s="4"/>
      <x:c r="N48" s="4"/>
      <x:c r="O48" s="4"/>
    </x:row>
    <x:row r="49">
      <x:c r="A49" s="4"/>
      <x:c r="B49" s="4"/>
      <x:c r="C49" s="4"/>
      <x:c r="D49" s="4"/>
      <x:c r="E49" s="4"/>
      <x:c r="F49" s="4"/>
      <x:c r="G49" s="4"/>
      <x:c r="H49" s="4"/>
      <x:c r="I49" s="4"/>
      <x:c r="J49" s="4"/>
      <x:c r="K49" s="4"/>
      <x:c r="L49" s="4"/>
      <x:c r="M49" s="4"/>
      <x:c r="N49" s="4"/>
      <x:c r="O49" s="4"/>
    </x:row>
    <x:row r="50">
      <x:c r="A50" s="4"/>
      <x:c r="B50" s="4"/>
      <x:c r="C50" s="4"/>
      <x:c r="D50" s="4"/>
      <x:c r="E50" s="4"/>
      <x:c r="F50" s="4"/>
      <x:c r="G50" s="4"/>
      <x:c r="H50" s="4"/>
      <x:c r="I50" s="4"/>
      <x:c r="J50" s="4"/>
      <x:c r="K50" s="4"/>
      <x:c r="L50" s="4"/>
      <x:c r="M50" s="4"/>
      <x:c r="N50" s="4"/>
      <x:c r="O50" s="4"/>
    </x:row>
    <x:row r="51">
      <x:c r="A51" s="4"/>
      <x:c r="B51" s="4"/>
      <x:c r="C51" s="4"/>
      <x:c r="D51" s="4"/>
      <x:c r="E51" s="4"/>
      <x:c r="F51" s="4"/>
      <x:c r="G51" s="4"/>
      <x:c r="H51" s="4"/>
      <x:c r="I51" s="4"/>
      <x:c r="J51" s="4"/>
      <x:c r="K51" s="4"/>
      <x:c r="L51" s="4"/>
      <x:c r="M51" s="4"/>
      <x:c r="N51" s="4"/>
      <x:c r="O51" s="4"/>
    </x:row>
    <x:row r="52">
      <x:c r="A52" s="4"/>
      <x:c r="B52" s="4"/>
      <x:c r="C52" s="4"/>
      <x:c r="D52" s="4"/>
      <x:c r="E52" s="4"/>
      <x:c r="F52" s="4"/>
      <x:c r="G52" s="4"/>
      <x:c r="H52" s="4"/>
      <x:c r="I52" s="4"/>
      <x:c r="J52" s="4"/>
      <x:c r="K52" s="4"/>
      <x:c r="L52" s="4"/>
      <x:c r="M52" s="4"/>
      <x:c r="N52" s="4"/>
      <x:c r="O52" s="4"/>
    </x:row>
    <x:row r="53">
      <x:c r="A53" s="4"/>
      <x:c r="B53" s="4"/>
      <x:c r="C53" s="4"/>
      <x:c r="D53" s="4"/>
      <x:c r="E53" s="4"/>
      <x:c r="F53" s="4"/>
      <x:c r="G53" s="4"/>
      <x:c r="H53" s="4"/>
      <x:c r="I53" s="4"/>
      <x:c r="J53" s="4"/>
      <x:c r="K53" s="4"/>
      <x:c r="L53" s="4"/>
      <x:c r="M53" s="4"/>
      <x:c r="N53" s="4"/>
      <x:c r="O53" s="4"/>
    </x:row>
    <x:row r="54">
      <x:c r="A54" s="4"/>
      <x:c r="B54" s="4"/>
      <x:c r="C54" s="4"/>
      <x:c r="D54" s="4"/>
      <x:c r="E54" s="4"/>
      <x:c r="F54" s="4"/>
      <x:c r="G54" s="4"/>
      <x:c r="H54" s="4"/>
      <x:c r="I54" s="4"/>
      <x:c r="J54" s="4"/>
      <x:c r="K54" s="4"/>
      <x:c r="L54" s="4"/>
      <x:c r="M54" s="4"/>
      <x:c r="N54" s="4"/>
      <x:c r="O54" s="4"/>
    </x:row>
    <x:row r="55">
      <x:c r="A55" s="4"/>
      <x:c r="B55" s="4"/>
      <x:c r="C55" s="4"/>
      <x:c r="D55" s="4"/>
      <x:c r="E55" s="4"/>
      <x:c r="F55" s="4"/>
      <x:c r="G55" s="4"/>
      <x:c r="H55" s="4"/>
      <x:c r="I55" s="4"/>
      <x:c r="J55" s="4"/>
      <x:c r="K55" s="4"/>
      <x:c r="L55" s="4"/>
      <x:c r="M55" s="4"/>
      <x:c r="N55" s="4"/>
      <x:c r="O55" s="4"/>
    </x:row>
    <x:row r="56">
      <x:c r="A56" s="4"/>
      <x:c r="B56" s="4"/>
      <x:c r="C56" s="4"/>
      <x:c r="D56" s="4"/>
      <x:c r="E56" s="4"/>
      <x:c r="F56" s="4"/>
      <x:c r="G56" s="4"/>
      <x:c r="H56" s="4"/>
      <x:c r="I56" s="4"/>
      <x:c r="J56" s="4"/>
      <x:c r="K56" s="4"/>
      <x:c r="L56" s="4"/>
      <x:c r="M56" s="4"/>
      <x:c r="N56" s="4"/>
      <x:c r="O56" s="4"/>
    </x:row>
    <x:row r="57">
      <x:c r="A57" s="4"/>
      <x:c r="B57" s="4"/>
      <x:c r="C57" s="4"/>
      <x:c r="D57" s="4"/>
      <x:c r="E57" s="4"/>
      <x:c r="F57" s="4"/>
      <x:c r="G57" s="4"/>
      <x:c r="H57" s="4"/>
      <x:c r="I57" s="4"/>
      <x:c r="J57" s="4"/>
      <x:c r="K57" s="4"/>
      <x:c r="L57" s="4"/>
      <x:c r="M57" s="4"/>
      <x:c r="N57" s="4"/>
      <x:c r="O57" s="4"/>
    </x:row>
    <x:row r="58">
      <x:c r="A58" s="4"/>
      <x:c r="B58" s="4"/>
      <x:c r="C58" s="4"/>
      <x:c r="D58" s="4"/>
      <x:c r="E58" s="4"/>
      <x:c r="F58" s="4"/>
      <x:c r="G58" s="4"/>
      <x:c r="H58" s="4"/>
      <x:c r="I58" s="4"/>
      <x:c r="J58" s="4"/>
      <x:c r="K58" s="4"/>
      <x:c r="L58" s="4"/>
      <x:c r="M58" s="4"/>
      <x:c r="N58" s="4"/>
      <x:c r="O58" s="4"/>
    </x:row>
    <x:row r="59">
      <x:c r="A59" s="4"/>
      <x:c r="B59" s="4"/>
      <x:c r="C59" s="4"/>
      <x:c r="D59" s="4"/>
      <x:c r="E59" s="4"/>
      <x:c r="F59" s="4"/>
      <x:c r="G59" s="4"/>
      <x:c r="H59" s="4"/>
      <x:c r="I59" s="4"/>
      <x:c r="J59" s="4"/>
      <x:c r="K59" s="4"/>
      <x:c r="L59" s="4"/>
      <x:c r="M59" s="4"/>
      <x:c r="N59" s="4"/>
      <x:c r="O59" s="4"/>
    </x:row>
    <x:row r="60">
      <x:c r="A60" s="4"/>
      <x:c r="B60" s="4"/>
      <x:c r="C60" s="4"/>
      <x:c r="D60" s="4"/>
      <x:c r="E60" s="4"/>
      <x:c r="F60" s="4"/>
      <x:c r="G60" s="4"/>
      <x:c r="H60" s="4"/>
      <x:c r="I60" s="4"/>
      <x:c r="J60" s="4"/>
      <x:c r="K60" s="4"/>
      <x:c r="L60" s="4"/>
      <x:c r="M60" s="4"/>
      <x:c r="N60" s="4"/>
      <x:c r="O60" s="4"/>
    </x:row>
    <x:row r="61">
      <x:c r="A61" s="4"/>
      <x:c r="B61" s="4"/>
      <x:c r="C61" s="4"/>
      <x:c r="D61" s="4"/>
      <x:c r="E61" s="4"/>
      <x:c r="F61" s="4"/>
      <x:c r="G61" s="4"/>
      <x:c r="H61" s="4"/>
      <x:c r="I61" s="4"/>
      <x:c r="J61" s="4"/>
      <x:c r="K61" s="4"/>
      <x:c r="L61" s="4"/>
      <x:c r="M61" s="4"/>
      <x:c r="N61" s="4"/>
      <x:c r="O61" s="4"/>
    </x:row>
    <x:row r="62">
      <x:c r="A62" s="4"/>
      <x:c r="B62" s="4"/>
      <x:c r="C62" s="4"/>
      <x:c r="D62" s="4"/>
      <x:c r="E62" s="4"/>
      <x:c r="F62" s="4"/>
      <x:c r="G62" s="4"/>
      <x:c r="H62" s="4"/>
      <x:c r="I62" s="4"/>
      <x:c r="J62" s="4"/>
      <x:c r="K62" s="4"/>
      <x:c r="L62" s="4"/>
      <x:c r="M62" s="4"/>
      <x:c r="N62" s="4"/>
      <x:c r="O62" s="4"/>
    </x:row>
    <x:row r="63">
      <x:c r="A63" s="4"/>
      <x:c r="B63" s="4"/>
      <x:c r="C63" s="4"/>
      <x:c r="D63" s="4"/>
      <x:c r="E63" s="4"/>
      <x:c r="F63" s="4"/>
      <x:c r="G63" s="4"/>
      <x:c r="H63" s="4"/>
      <x:c r="I63" s="4"/>
      <x:c r="J63" s="4"/>
      <x:c r="K63" s="4"/>
      <x:c r="L63" s="4"/>
      <x:c r="M63" s="4"/>
      <x:c r="N63" s="4"/>
      <x:c r="O63" s="4"/>
    </x:row>
    <x:row r="64">
      <x:c r="A64" s="4"/>
      <x:c r="B64" s="4"/>
      <x:c r="C64" s="4"/>
      <x:c r="D64" s="4"/>
      <x:c r="E64" s="4"/>
      <x:c r="F64" s="4"/>
      <x:c r="G64" s="4"/>
      <x:c r="H64" s="4"/>
      <x:c r="I64" s="4"/>
      <x:c r="J64" s="4"/>
      <x:c r="K64" s="4"/>
      <x:c r="L64" s="4"/>
      <x:c r="M64" s="4"/>
      <x:c r="N64" s="4"/>
      <x:c r="O64" s="4"/>
    </x:row>
    <x:row r="65">
      <x:c r="A65" s="4"/>
      <x:c r="B65" s="4"/>
      <x:c r="C65" s="4"/>
      <x:c r="D65" s="4"/>
      <x:c r="E65" s="4"/>
      <x:c r="F65" s="4"/>
      <x:c r="G65" s="4"/>
      <x:c r="H65" s="4"/>
      <x:c r="I65" s="4"/>
      <x:c r="J65" s="4"/>
      <x:c r="K65" s="4"/>
      <x:c r="L65" s="4"/>
      <x:c r="M65" s="4"/>
      <x:c r="N65" s="4"/>
      <x:c r="O65" s="4"/>
    </x:row>
    <x:row r="66">
      <x:c r="A66" s="4"/>
      <x:c r="B66" s="4"/>
      <x:c r="C66" s="4"/>
      <x:c r="D66" s="4"/>
      <x:c r="E66" s="4"/>
      <x:c r="F66" s="4"/>
      <x:c r="G66" s="4"/>
      <x:c r="H66" s="4"/>
      <x:c r="I66" s="4"/>
      <x:c r="J66" s="4"/>
      <x:c r="K66" s="4"/>
      <x:c r="L66" s="4"/>
      <x:c r="M66" s="4"/>
      <x:c r="N66" s="4"/>
      <x:c r="O66" s="4"/>
    </x:row>
    <x:row r="67">
      <x:c r="A67" s="4"/>
      <x:c r="B67" s="4"/>
      <x:c r="C67" s="4"/>
      <x:c r="D67" s="4"/>
      <x:c r="E67" s="4"/>
      <x:c r="F67" s="4"/>
      <x:c r="G67" s="4"/>
      <x:c r="H67" s="4"/>
      <x:c r="I67" s="4"/>
      <x:c r="J67" s="4"/>
      <x:c r="K67" s="4"/>
      <x:c r="L67" s="4"/>
      <x:c r="M67" s="4"/>
      <x:c r="N67" s="4"/>
      <x:c r="O67" s="4"/>
    </x:row>
    <x:row r="68">
      <x:c r="A68" s="4"/>
      <x:c r="B68" s="4"/>
      <x:c r="C68" s="4"/>
      <x:c r="D68" s="4"/>
      <x:c r="E68" s="4"/>
      <x:c r="F68" s="4"/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F2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40" hidden="0" customWidth="1"/>
    <x:col min="3" max="3" width="27" hidden="0" customWidth="1"/>
    <x:col min="4" max="4" width="65" hidden="0" customWidth="1"/>
    <x:col min="5" max="5" width="16" hidden="0" customWidth="1"/>
    <x:col min="6" max="6" width="55" hidden="0" customWidth="1"/>
  </x:cols>
  <x:sheetData>
    <x:row r="1" ht="24" customHeight="1">
      <x:c r="A1" s="8" t="str">
        <x:v>AFRICLUB | Repository, execution and research sources</x:v>
      </x:c>
      <x:c r="B1" s="8"/>
      <x:c r="C1" s="8"/>
      <x:c r="D1" s="8"/>
      <x:c r="E1" s="8"/>
      <x:c r="F1" s="8"/>
      <x:c r="G1" s="4"/>
      <x:c r="H1" s="4"/>
      <x:c r="I1" s="4"/>
      <x:c r="J1" s="4"/>
      <x:c r="K1" s="4"/>
      <x:c r="L1" s="4"/>
      <x:c r="M1" s="4"/>
      <x:c r="N1" s="4"/>
      <x:c r="O1" s="4"/>
    </x:row>
    <x:row r="2" ht="24" customHeight="1">
      <x:c r="A2" s="8"/>
      <x:c r="B2" s="8"/>
      <x:c r="C2" s="8"/>
      <x:c r="D2" s="8"/>
      <x:c r="E2" s="8"/>
      <x:c r="F2" s="8"/>
      <x:c r="G2" s="4"/>
      <x:c r="H2" s="4"/>
      <x:c r="I2" s="4"/>
      <x:c r="J2" s="4"/>
      <x:c r="K2" s="4"/>
      <x:c r="L2" s="4"/>
      <x:c r="M2" s="4"/>
      <x:c r="N2" s="4"/>
      <x:c r="O2" s="4"/>
    </x:row>
    <x:row r="3">
      <x:c r="A3" s="4"/>
      <x:c r="B3" s="4"/>
      <x:c r="C3" s="4"/>
      <x:c r="D3" s="4"/>
      <x:c r="E3" s="4"/>
      <x:c r="F3" s="4"/>
      <x:c r="G3" s="4"/>
      <x:c r="H3" s="4"/>
      <x:c r="I3" s="4"/>
      <x:c r="J3" s="4"/>
      <x:c r="K3" s="4"/>
      <x:c r="L3" s="4"/>
      <x:c r="M3" s="4"/>
      <x:c r="N3" s="4"/>
      <x:c r="O3" s="4"/>
    </x:row>
    <x:row r="4" ht="30" customHeight="1">
      <x:c r="A4" s="23" t="str">
        <x:v>ID</x:v>
      </x:c>
      <x:c r="B4" s="23" t="str">
        <x:v>Source</x:v>
      </x:c>
      <x:c r="C4" s="23" t="str">
        <x:v>Class</x:v>
      </x:c>
      <x:c r="D4" s="23" t="str">
        <x:v>URL / evidence path</x:v>
      </x:c>
      <x:c r="E4" s="23" t="str">
        <x:v>Reviewed</x:v>
      </x:c>
      <x:c r="F4" s="23" t="str">
        <x:v>Use and limitation</x:v>
      </x:c>
      <x:c r="G4" s="4"/>
      <x:c r="H4" s="4"/>
      <x:c r="I4" s="4"/>
      <x:c r="J4" s="4"/>
      <x:c r="K4" s="4"/>
      <x:c r="L4" s="4"/>
      <x:c r="M4" s="4"/>
      <x:c r="N4" s="4"/>
      <x:c r="O4" s="4"/>
    </x:row>
    <x:row r="5" ht="78" customHeight="1">
      <x:c r="A5" s="18" t="str">
        <x:v>S01</x:v>
      </x:c>
      <x:c r="B5" s="18" t="str">
        <x:v>Root README / supported surfaces and five clubs</x:v>
      </x:c>
      <x:c r="C5" s="18" t="str">
        <x:v>Repository source</x:v>
      </x:c>
      <x:c r="D5" s="18" t="str">
        <x:v>https://drive.google.com/file/d/1W-wB0714GR2PtTb01XldFYbQcFhL_1AC/view</x:v>
      </x:c>
      <x:c r="E5" s="18" t="str">
        <x:v>2026-09-27</x:v>
      </x:c>
      <x:c r="F5" s="18" t="str">
        <x:v>Freshly read from the current Drive file; not proof of deployment.</x:v>
      </x:c>
      <x:c r="G5" s="4"/>
      <x:c r="H5" s="4"/>
      <x:c r="I5" s="4"/>
      <x:c r="J5" s="4"/>
      <x:c r="K5" s="4"/>
      <x:c r="L5" s="4"/>
      <x:c r="M5" s="4"/>
      <x:c r="N5" s="4"/>
      <x:c r="O5" s="4"/>
    </x:row>
    <x:row r="6" ht="78" customHeight="1">
      <x:c r="A6" s="18" t="str">
        <x:v>S02</x:v>
      </x:c>
      <x:c r="B6" s="18" t="str">
        <x:v>Root pubspec.yaml / workspace and toolchain</x:v>
      </x:c>
      <x:c r="C6" s="18" t="str">
        <x:v>Repository source</x:v>
      </x:c>
      <x:c r="D6" s="18" t="str">
        <x:v>https://drive.google.com/file/d/1NBjccCUL0GExYKlWVsGptSv3TttePFa7/view</x:v>
      </x:c>
      <x:c r="E6" s="18" t="str">
        <x:v>2026-09-27</x:v>
      </x:c>
      <x:c r="F6" s="18" t="str">
        <x:v>Freshly read from the current Drive file; not proof of deployment.</x:v>
      </x:c>
      <x:c r="G6" s="4"/>
      <x:c r="H6" s="4"/>
      <x:c r="I6" s="4"/>
      <x:c r="J6" s="4"/>
      <x:c r="K6" s="4"/>
      <x:c r="L6" s="4"/>
      <x:c r="M6" s="4"/>
      <x:c r="N6" s="4"/>
      <x:c r="O6" s="4"/>
    </x:row>
    <x:row r="7" ht="78" customHeight="1">
      <x:c r="A7" s="18" t="str">
        <x:v>S03</x:v>
      </x:c>
      <x:c r="B7" s="18" t="str">
        <x:v>Main CI workflow</x:v>
      </x:c>
      <x:c r="C7" s="18" t="str">
        <x:v>Repository source</x:v>
      </x:c>
      <x:c r="D7" s="18" t="str">
        <x:v>https://drive.google.com/file/d/1vza_RNiaP7bOgavHdtYifYUk4uYBoOXM/view</x:v>
      </x:c>
      <x:c r="E7" s="18" t="str">
        <x:v>2026-09-27</x:v>
      </x:c>
      <x:c r="F7" s="18" t="str">
        <x:v>Freshly read from the current Drive file; not proof of deployment.</x:v>
      </x:c>
      <x:c r="G7" s="4"/>
      <x:c r="H7" s="4"/>
      <x:c r="I7" s="4"/>
      <x:c r="J7" s="4"/>
      <x:c r="K7" s="4"/>
      <x:c r="L7" s="4"/>
      <x:c r="M7" s="4"/>
      <x:c r="N7" s="4"/>
      <x:c r="O7" s="4"/>
    </x:row>
    <x:row r="8" ht="78" customHeight="1">
      <x:c r="A8" s="18" t="str">
        <x:v>S04</x:v>
      </x:c>
      <x:c r="B8" s="18" t="str">
        <x:v>Web deployment workflow</x:v>
      </x:c>
      <x:c r="C8" s="18" t="str">
        <x:v>Repository source</x:v>
      </x:c>
      <x:c r="D8" s="18" t="str">
        <x:v>https://drive.google.com/file/d/1JriJdKI5Zl66Zb0tcrD49U8vIXdk9_su/view</x:v>
      </x:c>
      <x:c r="E8" s="18" t="str">
        <x:v>2026-09-27</x:v>
      </x:c>
      <x:c r="F8" s="18" t="str">
        <x:v>Freshly read from the current Drive file; not proof of deployment.</x:v>
      </x:c>
      <x:c r="G8" s="4"/>
      <x:c r="H8" s="4"/>
      <x:c r="I8" s="4"/>
      <x:c r="J8" s="4"/>
      <x:c r="K8" s="4"/>
      <x:c r="L8" s="4"/>
      <x:c r="M8" s="4"/>
      <x:c r="N8" s="4"/>
      <x:c r="O8" s="4"/>
    </x:row>
    <x:row r="9" ht="78" customHeight="1">
      <x:c r="A9" s="18" t="str">
        <x:v>S05</x:v>
      </x:c>
      <x:c r="B9" s="18" t="str">
        <x:v>Original repository boundary validator</x:v>
      </x:c>
      <x:c r="C9" s="18" t="str">
        <x:v>Repository source</x:v>
      </x:c>
      <x:c r="D9" s="18" t="str">
        <x:v>https://drive.google.com/file/d/1N23TLa4JwiI46dPwiWV3ODcISwmOJBRX/view</x:v>
      </x:c>
      <x:c r="E9" s="18" t="str">
        <x:v>2026-09-27</x:v>
      </x:c>
      <x:c r="F9" s="18" t="str">
        <x:v>Freshly read and exercised in a minimal disposable Git fixture.</x:v>
      </x:c>
      <x:c r="G9" s="4"/>
      <x:c r="H9" s="4"/>
      <x:c r="I9" s="4"/>
      <x:c r="J9" s="4"/>
      <x:c r="K9" s="4"/>
      <x:c r="L9" s="4"/>
      <x:c r="M9" s="4"/>
      <x:c r="N9" s="4"/>
      <x:c r="O9" s="4"/>
    </x:row>
    <x:row r="10" ht="78" customHeight="1">
      <x:c r="A10" s="18" t="str">
        <x:v>S06</x:v>
      </x:c>
      <x:c r="B10" s="18" t="str">
        <x:v>Stage-0 inventory, including 25 September continuation</x:v>
      </x:c>
      <x:c r="C10" s="18" t="str">
        <x:v>Repository source</x:v>
      </x:c>
      <x:c r="D10" s="18" t="str">
        <x:v>https://drive.google.com/file/d/1-7B4JcFcWG3OrLUhBamPvNLURFKqU5Kl/view</x:v>
      </x:c>
      <x:c r="E10" s="18" t="str">
        <x:v>2026-09-27</x:v>
      </x:c>
      <x:c r="F10" s="18" t="str">
        <x:v>Freshly read; infrastructure observations are dated 24–25 September, not independently rechecked production facts.</x:v>
      </x:c>
      <x:c r="G10" s="4"/>
      <x:c r="H10" s="4"/>
      <x:c r="I10" s="4"/>
      <x:c r="J10" s="4"/>
      <x:c r="K10" s="4"/>
      <x:c r="L10" s="4"/>
      <x:c r="M10" s="4"/>
      <x:c r="N10" s="4"/>
      <x:c r="O10" s="4"/>
    </x:row>
    <x:row r="11" ht="78" customHeight="1">
      <x:c r="A11" s="18" t="str">
        <x:v>S07</x:v>
      </x:c>
      <x:c r="B11" s="18" t="str">
        <x:v>Current public-content Worker entrypoint</x:v>
      </x:c>
      <x:c r="C11" s="18" t="str">
        <x:v>Repository source</x:v>
      </x:c>
      <x:c r="D11" s="18" t="str">
        <x:v>https://drive.google.com/file/d/11HjHNGCFck0SiQGNHOWljw4Q-nxeMIPw/view</x:v>
      </x:c>
      <x:c r="E11" s="18" t="str">
        <x:v>2026-09-27</x:v>
      </x:c>
      <x:c r="F11" s="18" t="str">
        <x:v>Fresh bytes; two isolated tests reproduced freshness and media-verification behavior.</x:v>
      </x:c>
      <x:c r="G11" s="4"/>
      <x:c r="H11" s="4"/>
      <x:c r="I11" s="4"/>
      <x:c r="J11" s="4"/>
      <x:c r="K11" s="4"/>
      <x:c r="L11" s="4"/>
      <x:c r="M11" s="4"/>
      <x:c r="N11" s="4"/>
      <x:c r="O11" s="4"/>
    </x:row>
    <x:row r="12" ht="78" customHeight="1">
      <x:c r="A12" s="18" t="str">
        <x:v>S08</x:v>
      </x:c>
      <x:c r="B12" s="18" t="str">
        <x:v>Web package.json</x:v>
      </x:c>
      <x:c r="C12" s="18" t="str">
        <x:v>Repository source</x:v>
      </x:c>
      <x:c r="D12" s="18" t="str">
        <x:v>https://drive.google.com/file/d/1P7Dd9dMO4dT35M-va4qQIYwTgLVFUeCy/view</x:v>
      </x:c>
      <x:c r="E12" s="18" t="str">
        <x:v>2026-09-27</x:v>
      </x:c>
      <x:c r="F12" s="18" t="str">
        <x:v>Freshly read from the current Drive file; not proof of deployment.</x:v>
      </x:c>
      <x:c r="G12" s="4"/>
      <x:c r="H12" s="4"/>
      <x:c r="I12" s="4"/>
      <x:c r="J12" s="4"/>
      <x:c r="K12" s="4"/>
      <x:c r="L12" s="4"/>
      <x:c r="M12" s="4"/>
      <x:c r="N12" s="4"/>
      <x:c r="O12" s="4"/>
    </x:row>
    <x:row r="13" ht="78" customHeight="1">
      <x:c r="A13" s="18" t="str">
        <x:v>S09</x:v>
      </x:c>
      <x:c r="B13" s="18" t="str">
        <x:v>Next.js configuration</x:v>
      </x:c>
      <x:c r="C13" s="18" t="str">
        <x:v>Repository source</x:v>
      </x:c>
      <x:c r="D13" s="18" t="str">
        <x:v>https://drive.google.com/file/d/1ylTZbAFeURan9Rk_8oJwsqd1YOKJDtAM/view</x:v>
      </x:c>
      <x:c r="E13" s="18" t="str">
        <x:v>2026-09-27</x:v>
      </x:c>
      <x:c r="F13" s="18" t="str">
        <x:v>Freshly read from the current Drive file; not proof of deployment.</x:v>
      </x:c>
      <x:c r="G13" s="4"/>
      <x:c r="H13" s="4"/>
      <x:c r="I13" s="4"/>
      <x:c r="J13" s="4"/>
      <x:c r="K13" s="4"/>
      <x:c r="L13" s="4"/>
      <x:c r="M13" s="4"/>
      <x:c r="N13" s="4"/>
      <x:c r="O13" s="4"/>
    </x:row>
    <x:row r="14" ht="78" customHeight="1">
      <x:c r="A14" s="18" t="str">
        <x:v>S10</x:v>
      </x:c>
      <x:c r="B14" s="18" t="str">
        <x:v>Supporter IdentityService</x:v>
      </x:c>
      <x:c r="C14" s="18" t="str">
        <x:v>Repository source</x:v>
      </x:c>
      <x:c r="D14" s="18" t="str">
        <x:v>https://drive.google.com/file/d/1nZBkMaq85TVbCtagt109zHTRYm3Q1K7Y/view</x:v>
      </x:c>
      <x:c r="E14" s="18" t="str">
        <x:v>2026-09-27</x:v>
      </x:c>
      <x:c r="F14" s="18" t="str">
        <x:v>Fresh bytes match archived test context; shared OTP-budget behavior reproduced using local SQLite.</x:v>
      </x:c>
      <x:c r="G14" s="4"/>
      <x:c r="H14" s="4"/>
      <x:c r="I14" s="4"/>
      <x:c r="J14" s="4"/>
      <x:c r="K14" s="4"/>
      <x:c r="L14" s="4"/>
      <x:c r="M14" s="4"/>
      <x:c r="N14" s="4"/>
      <x:c r="O14" s="4"/>
    </x:row>
    <x:row r="15" ht="78" customHeight="1">
      <x:c r="A15" s="18" t="str">
        <x:v>S11</x:v>
      </x:c>
      <x:c r="B15" s="18" t="str">
        <x:v>Supporter membership gateway README</x:v>
      </x:c>
      <x:c r="C15" s="18" t="str">
        <x:v>Repository source</x:v>
      </x:c>
      <x:c r="D15" s="18" t="str">
        <x:v>https://drive.google.com/file/d/1ZMOX3aVmWujKCYV_YahrkQ5NPbFXuY7h/view</x:v>
      </x:c>
      <x:c r="E15" s="18" t="str">
        <x:v>2026-09-27</x:v>
      </x:c>
      <x:c r="F15" s="18" t="str">
        <x:v>Freshly read from the current Drive file; not proof of deployment.</x:v>
      </x:c>
      <x:c r="G15" s="4"/>
      <x:c r="H15" s="4"/>
      <x:c r="I15" s="4"/>
      <x:c r="J15" s="4"/>
      <x:c r="K15" s="4"/>
      <x:c r="L15" s="4"/>
      <x:c r="M15" s="4"/>
      <x:c r="N15" s="4"/>
      <x:c r="O15" s="4"/>
    </x:row>
    <x:row r="16" ht="78" customHeight="1">
      <x:c r="A16" s="18" t="str">
        <x:v>S12</x:v>
      </x:c>
      <x:c r="B16" s="18" t="str">
        <x:v>Supporter membership gateway disabled configuration</x:v>
      </x:c>
      <x:c r="C16" s="18" t="str">
        <x:v>Repository source</x:v>
      </x:c>
      <x:c r="D16" s="18" t="str">
        <x:v>https://drive.google.com/file/d/1AETDVu4czZPLBw5yMVdkGEOgCX_X4S05/view</x:v>
      </x:c>
      <x:c r="E16" s="18" t="str">
        <x:v>2026-09-27</x:v>
      </x:c>
      <x:c r="F16" s="18" t="str">
        <x:v>Freshly read from the current Drive file; not proof of deployment.</x:v>
      </x:c>
      <x:c r="G16" s="4"/>
      <x:c r="H16" s="4"/>
      <x:c r="I16" s="4"/>
      <x:c r="J16" s="4"/>
      <x:c r="K16" s="4"/>
      <x:c r="L16" s="4"/>
      <x:c r="M16" s="4"/>
      <x:c r="N16" s="4"/>
      <x:c r="O16" s="4"/>
    </x:row>
    <x:row r="17" ht="78" customHeight="1">
      <x:c r="A17" s="18" t="str">
        <x:v>S13</x:v>
      </x:c>
      <x:c r="B17" s="18" t="str">
        <x:v>Payment-allocation README</x:v>
      </x:c>
      <x:c r="C17" s="18" t="str">
        <x:v>Repository source</x:v>
      </x:c>
      <x:c r="D17" s="18" t="str">
        <x:v>https://drive.google.com/file/d/11c2iijJkMgVqUIhC9JivYi8vxb5prAsr/view</x:v>
      </x:c>
      <x:c r="E17" s="18" t="str">
        <x:v>2026-09-27</x:v>
      </x:c>
      <x:c r="F17" s="18" t="str">
        <x:v>Freshly read from the current Drive file; not proof of deployment.</x:v>
      </x:c>
      <x:c r="G17" s="4"/>
      <x:c r="H17" s="4"/>
      <x:c r="I17" s="4"/>
      <x:c r="J17" s="4"/>
      <x:c r="K17" s="4"/>
      <x:c r="L17" s="4"/>
      <x:c r="M17" s="4"/>
      <x:c r="N17" s="4"/>
      <x:c r="O17" s="4"/>
    </x:row>
    <x:row r="18" ht="78" customHeight="1">
      <x:c r="A18" s="18" t="str">
        <x:v>S14</x:v>
      </x:c>
      <x:c r="B18" s="18" t="str">
        <x:v>Membership checkout service</x:v>
      </x:c>
      <x:c r="C18" s="18" t="str">
        <x:v>Repository source</x:v>
      </x:c>
      <x:c r="D18" s="18" t="str">
        <x:v>https://drive.google.com/file/d/1IQ0j1CbRMRzrL8sb8pn-CmldmL95UOar/view</x:v>
      </x:c>
      <x:c r="E18" s="18" t="str">
        <x:v>2026-09-27</x:v>
      </x:c>
      <x:c r="F18" s="18" t="str">
        <x:v>Fresh bytes match archived test context; 432 payment/checkout regression tests rerun in reconstructed subset.</x:v>
      </x:c>
      <x:c r="G18" s="4"/>
      <x:c r="H18" s="4"/>
      <x:c r="I18" s="4"/>
      <x:c r="J18" s="4"/>
      <x:c r="K18" s="4"/>
      <x:c r="L18" s="4"/>
      <x:c r="M18" s="4"/>
      <x:c r="N18" s="4"/>
      <x:c r="O18" s="4"/>
    </x:row>
    <x:row r="19" ht="78" customHeight="1">
      <x:c r="A19" s="18" t="str">
        <x:v>S15</x:v>
      </x:c>
      <x:c r="B19" s="18" t="str">
        <x:v>Payment allocation service</x:v>
      </x:c>
      <x:c r="C19" s="18" t="str">
        <x:v>Repository source</x:v>
      </x:c>
      <x:c r="D19" s="18" t="str">
        <x:v>https://drive.google.com/file/d/1cpCkpbugLJhfNBkE2aPYmFQhawKvTHdb/view</x:v>
      </x:c>
      <x:c r="E19" s="18" t="str">
        <x:v>2026-09-27</x:v>
      </x:c>
      <x:c r="F19" s="18" t="str">
        <x:v>Fresh bytes match archived test context; not a live provider test.</x:v>
      </x:c>
      <x:c r="G19" s="4"/>
      <x:c r="H19" s="4"/>
      <x:c r="I19" s="4"/>
      <x:c r="J19" s="4"/>
      <x:c r="K19" s="4"/>
      <x:c r="L19" s="4"/>
      <x:c r="M19" s="4"/>
      <x:c r="N19" s="4"/>
      <x:c r="O19" s="4"/>
    </x:row>
    <x:row r="20" ht="78" customHeight="1">
      <x:c r="A20" s="18" t="str">
        <x:v>S16</x:v>
      </x:c>
      <x:c r="B20" s="18" t="str">
        <x:v>Predict economics decision gate</x:v>
      </x:c>
      <x:c r="C20" s="18" t="str">
        <x:v>Repository source</x:v>
      </x:c>
      <x:c r="D20" s="18" t="str">
        <x:v>https://drive.google.com/file/d/17ycbTO5tfhGoKOFEnqrDMmIud2MmIQWJ/view</x:v>
      </x:c>
      <x:c r="E20" s="18" t="str">
        <x:v>2026-09-27</x:v>
      </x:c>
      <x:c r="F20" s="18" t="str">
        <x:v>Freshly read from the current Drive file; not proof of deployment.</x:v>
      </x:c>
      <x:c r="G20" s="4"/>
      <x:c r="H20" s="4"/>
      <x:c r="I20" s="4"/>
      <x:c r="J20" s="4"/>
      <x:c r="K20" s="4"/>
      <x:c r="L20" s="4"/>
      <x:c r="M20" s="4"/>
      <x:c r="N20" s="4"/>
      <x:c r="O20" s="4"/>
    </x:row>
    <x:row r="21" ht="78" customHeight="1">
      <x:c r="A21" s="18" t="str">
        <x:v>S17</x:v>
      </x:c>
      <x:c r="B21" s="18" t="str">
        <x:v>FET ledger and rewards policy</x:v>
      </x:c>
      <x:c r="C21" s="18" t="str">
        <x:v>Repository source</x:v>
      </x:c>
      <x:c r="D21" s="18" t="str">
        <x:v>https://drive.google.com/file/d/1HhucygDrFRiVp97oEdhhvlBfFsT2w8O4/view</x:v>
      </x:c>
      <x:c r="E21" s="18" t="str">
        <x:v>2026-09-27</x:v>
      </x:c>
      <x:c r="F21" s="18" t="str">
        <x:v>Freshly read from the current Drive file; not proof of deployment.</x:v>
      </x:c>
      <x:c r="G21" s="4"/>
      <x:c r="H21" s="4"/>
      <x:c r="I21" s="4"/>
      <x:c r="J21" s="4"/>
      <x:c r="K21" s="4"/>
      <x:c r="L21" s="4"/>
      <x:c r="M21" s="4"/>
      <x:c r="N21" s="4"/>
      <x:c r="O21" s="4"/>
    </x:row>
    <x:row r="22" ht="78" customHeight="1">
      <x:c r="A22" s="18" t="str">
        <x:v>S18</x:v>
      </x:c>
      <x:c r="B22" s="18" t="str">
        <x:v>Historical simplified Predict migration guide</x:v>
      </x:c>
      <x:c r="C22" s="18" t="str">
        <x:v>Repository source</x:v>
      </x:c>
      <x:c r="D22" s="18" t="str">
        <x:v>https://drive.google.com/file/d/1dVx6rf5uTZoqMRUzKrDTWsYYfzuKRkgl/view</x:v>
      </x:c>
      <x:c r="E22" s="18" t="str">
        <x:v>2026-09-27</x:v>
      </x:c>
      <x:c r="F22" s="18" t="str">
        <x:v>Historical behavioral and deployment claims; conflict with free-entry policy remains a release issue.</x:v>
      </x:c>
      <x:c r="G22" s="4"/>
      <x:c r="H22" s="4"/>
      <x:c r="I22" s="4"/>
      <x:c r="J22" s="4"/>
      <x:c r="K22" s="4"/>
      <x:c r="L22" s="4"/>
      <x:c r="M22" s="4"/>
      <x:c r="N22" s="4"/>
      <x:c r="O22" s="4"/>
    </x:row>
    <x:row r="23" ht="78" customHeight="1">
      <x:c r="A23" s="18" t="str">
        <x:v>S19</x:v>
      </x:c>
      <x:c r="B23" s="18" t="str">
        <x:v>Football platform blueprint</x:v>
      </x:c>
      <x:c r="C23" s="18" t="str">
        <x:v>Repository source</x:v>
      </x:c>
      <x:c r="D23" s="18" t="str">
        <x:v>https://drive.google.com/file/d/1bSZvtg4CC-dPopSShQmXiQrDTTQhpT_q/view</x:v>
      </x:c>
      <x:c r="E23" s="18" t="str">
        <x:v>2026-09-27</x:v>
      </x:c>
      <x:c r="F23" s="18" t="str">
        <x:v>First 210 of 221 source lines reviewed, including architecture, product, tenancy and design contracts.</x:v>
      </x:c>
      <x:c r="G23" s="4"/>
      <x:c r="H23" s="4"/>
      <x:c r="I23" s="4"/>
      <x:c r="J23" s="4"/>
      <x:c r="K23" s="4"/>
      <x:c r="L23" s="4"/>
      <x:c r="M23" s="4"/>
      <x:c r="N23" s="4"/>
      <x:c r="O23" s="4"/>
    </x:row>
    <x:row r="24" ht="78" customHeight="1">
      <x:c r="A24" s="18" t="str">
        <x:v>S20</x:v>
      </x:c>
      <x:c r="B24" s="18" t="str">
        <x:v>Route-state evidence registry</x:v>
      </x:c>
      <x:c r="C24" s="18" t="str">
        <x:v>Repository source</x:v>
      </x:c>
      <x:c r="D24" s="18" t="str">
        <x:v>https://drive.google.com/file/d/1KkJEsNxovRx5wc2t8-4lAop2kWgtyKCy/view</x:v>
      </x:c>
      <x:c r="E24" s="18" t="str">
        <x:v>2026-09-27</x:v>
      </x:c>
      <x:c r="F24" s="18" t="str">
        <x:v>Current registry has empty cells/groups; not proof that no screenshots exist elsewhere.</x:v>
      </x:c>
      <x:c r="G24" s="4"/>
      <x:c r="H24" s="4"/>
      <x:c r="I24" s="4"/>
      <x:c r="J24" s="4"/>
      <x:c r="K24" s="4"/>
      <x:c r="L24" s="4"/>
      <x:c r="M24" s="4"/>
      <x:c r="N24" s="4"/>
      <x:c r="O24" s="4"/>
    </x:row>
    <x:row r="25" ht="78" customHeight="1">
      <x:c r="A25" s="18" t="str">
        <x:v>S21</x:v>
      </x:c>
      <x:c r="B25" s="18" t="str">
        <x:v>Build-evidence bundle registry</x:v>
      </x:c>
      <x:c r="C25" s="18" t="str">
        <x:v>Repository source</x:v>
      </x:c>
      <x:c r="D25" s="18" t="str">
        <x:v>https://drive.google.com/file/d/1XJd-1UsYp-8CKMsBKpW5Cqs_h875Ur2T/view</x:v>
      </x:c>
      <x:c r="E25" s="18" t="str">
        <x:v>2026-09-27</x:v>
      </x:c>
      <x:c r="F25" s="18" t="str">
        <x:v>Current bundles array is empty.</x:v>
      </x:c>
      <x:c r="G25" s="4"/>
      <x:c r="H25" s="4"/>
      <x:c r="I25" s="4"/>
      <x:c r="J25" s="4"/>
      <x:c r="K25" s="4"/>
      <x:c r="L25" s="4"/>
      <x:c r="M25" s="4"/>
      <x:c r="N25" s="4"/>
      <x:c r="O25" s="4"/>
    </x:row>
    <x:row r="26" ht="78" customHeight="1">
      <x:c r="A26" s="18" t="str">
        <x:v>S22</x:v>
      </x:c>
      <x:c r="B26" s="18" t="str">
        <x:v>Rayon release checklist</x:v>
      </x:c>
      <x:c r="C26" s="18" t="str">
        <x:v>Repository source</x:v>
      </x:c>
      <x:c r="D26" s="18" t="str">
        <x:v>https://drive.google.com/file/d/1hfdEnPK4x8_lOxck4PTCGpkQDKpFLi17/view</x:v>
      </x:c>
      <x:c r="E26" s="18" t="str">
        <x:v>2026-09-27</x:v>
      </x:c>
      <x:c r="F26" s="18" t="str">
        <x:v>Freshly read from the current Drive file; not proof of deployment.</x:v>
      </x:c>
      <x:c r="G26" s="4"/>
      <x:c r="H26" s="4"/>
      <x:c r="I26" s="4"/>
      <x:c r="J26" s="4"/>
      <x:c r="K26" s="4"/>
      <x:c r="L26" s="4"/>
      <x:c r="M26" s="4"/>
      <x:c r="N26" s="4"/>
      <x:c r="O26" s="4"/>
    </x:row>
    <x:row r="27" ht="78" customHeight="1">
      <x:c r="A27" s="18" t="str">
        <x:v>S23</x:v>
      </x:c>
      <x:c r="B27" s="18" t="str">
        <x:v>Operator API entrypoint</x:v>
      </x:c>
      <x:c r="C27" s="18" t="str">
        <x:v>Repository source</x:v>
      </x:c>
      <x:c r="D27" s="18" t="str">
        <x:v>https://drive.google.com/file/d/1J66OJK__n47gsN7cyFadnfW63WewYmnj/view</x:v>
      </x:c>
      <x:c r="E27" s="18" t="str">
        <x:v>2026-09-27</x:v>
      </x:c>
      <x:c r="F27" s="18" t="str">
        <x:v>Freshly read from the current Drive file; not proof of deployment.</x:v>
      </x:c>
      <x:c r="G27" s="4"/>
      <x:c r="H27" s="4"/>
      <x:c r="I27" s="4"/>
      <x:c r="J27" s="4"/>
      <x:c r="K27" s="4"/>
      <x:c r="L27" s="4"/>
      <x:c r="M27" s="4"/>
      <x:c r="N27" s="4"/>
      <x:c r="O27" s="4"/>
    </x:row>
    <x:row r="28" ht="78" customHeight="1">
      <x:c r="A28" s="18" t="str">
        <x:v>S24</x:v>
      </x:c>
      <x:c r="B28" s="18" t="str">
        <x:v>Operator console handler</x:v>
      </x:c>
      <x:c r="C28" s="18" t="str">
        <x:v>Repository source</x:v>
      </x:c>
      <x:c r="D28" s="18" t="str">
        <x:v>https://drive.google.com/file/d/1fgnPtcoK0sc6T5JVQxg8vAonL1QkuwAJ/view</x:v>
      </x:c>
      <x:c r="E28" s="18" t="str">
        <x:v>2026-09-27</x:v>
      </x:c>
      <x:c r="F28" s="18" t="str">
        <x:v>Freshly read from the current Drive file; not proof of deployment.</x:v>
      </x:c>
      <x:c r="G28" s="4"/>
      <x:c r="H28" s="4"/>
      <x:c r="I28" s="4"/>
      <x:c r="J28" s="4"/>
      <x:c r="K28" s="4"/>
      <x:c r="L28" s="4"/>
      <x:c r="M28" s="4"/>
      <x:c r="N28" s="4"/>
      <x:c r="O28" s="4"/>
    </x:row>
    <x:row r="29" ht="78" customHeight="1">
      <x:c r="A29" s="18" t="str">
        <x:v>S25</x:v>
      </x:c>
      <x:c r="B29" s="18" t="str">
        <x:v>Operator gateway configuration</x:v>
      </x:c>
      <x:c r="C29" s="18" t="str">
        <x:v>Repository source</x:v>
      </x:c>
      <x:c r="D29" s="18" t="str">
        <x:v>https://drive.google.com/file/d/1tVqsVNYSBDrUHaBUZB9GjjaT65ss5q83/view</x:v>
      </x:c>
      <x:c r="E29" s="18" t="str">
        <x:v>2026-09-27</x:v>
      </x:c>
      <x:c r="F29" s="18" t="str">
        <x:v>Freshly read from the current Drive file; not proof of deployment.</x:v>
      </x:c>
      <x:c r="G29" s="4"/>
      <x:c r="H29" s="4"/>
      <x:c r="I29" s="4"/>
      <x:c r="J29" s="4"/>
      <x:c r="K29" s="4"/>
      <x:c r="L29" s="4"/>
      <x:c r="M29" s="4"/>
      <x:c r="N29" s="4"/>
      <x:c r="O29" s="4"/>
    </x:row>
    <x:row r="30" ht="78" customHeight="1">
      <x:c r="A30" s="18" t="str">
        <x:v>S26</x:v>
      </x:c>
      <x:c r="B30" s="18" t="str">
        <x:v>Operator console documentation</x:v>
      </x:c>
      <x:c r="C30" s="18" t="str">
        <x:v>Repository source</x:v>
      </x:c>
      <x:c r="D30" s="18" t="str">
        <x:v>https://drive.google.com/file/d/1xZTMg97Hq6fVXwtOgwZZghB8x38wPeCA/view</x:v>
      </x:c>
      <x:c r="E30" s="18" t="str">
        <x:v>2026-09-27</x:v>
      </x:c>
      <x:c r="F30" s="18" t="str">
        <x:v>Names a console-specific entrypoint/configuration not returned in the inspected current source/root folder listings.</x:v>
      </x:c>
      <x:c r="G30" s="4"/>
      <x:c r="H30" s="4"/>
      <x:c r="I30" s="4"/>
      <x:c r="J30" s="4"/>
      <x:c r="K30" s="4"/>
      <x:c r="L30" s="4"/>
      <x:c r="M30" s="4"/>
      <x:c r="N30" s="4"/>
      <x:c r="O30" s="4"/>
    </x:row>
    <x:row r="31" ht="78" customHeight="1">
      <x:c r="A31" s="18" t="str">
        <x:v>S27</x:v>
      </x:c>
      <x:c r="B31" s="18" t="str">
        <x:v>Operator Access identity adapter</x:v>
      </x:c>
      <x:c r="C31" s="18" t="str">
        <x:v>Repository source</x:v>
      </x:c>
      <x:c r="D31" s="18" t="str">
        <x:v>https://drive.google.com/file/d/1LtG2kIA8_psXzwtNjbEUjtwcFYe29aIm/view</x:v>
      </x:c>
      <x:c r="E31" s="18" t="str">
        <x:v>2026-09-27</x:v>
      </x:c>
      <x:c r="F31" s="18" t="str">
        <x:v>Freshly read from the current Drive file; not proof of deployment.</x:v>
      </x:c>
      <x:c r="G31" s="4"/>
      <x:c r="H31" s="4"/>
      <x:c r="I31" s="4"/>
      <x:c r="J31" s="4"/>
      <x:c r="K31" s="4"/>
      <x:c r="L31" s="4"/>
      <x:c r="M31" s="4"/>
      <x:c r="N31" s="4"/>
      <x:c r="O31" s="4"/>
    </x:row>
    <x:row r="32" ht="78" customHeight="1">
      <x:c r="A32" s="18" t="str">
        <x:v>S28</x:v>
      </x:c>
      <x:c r="B32" s="18" t="str">
        <x:v>Installed Cloudflare disposition CSV</x:v>
      </x:c>
      <x:c r="C32" s="18" t="str">
        <x:v>Repository source</x:v>
      </x:c>
      <x:c r="D32" s="18" t="str">
        <x:v>https://drive.google.com/file/d/1PpYe-2H6Ssj1jFJZ3SnL8PFgTq5ewxuU/view</x:v>
      </x:c>
      <x:c r="E32" s="18" t="str">
        <x:v>2026-09-27</x:v>
      </x:c>
      <x:c r="F32" s="18" t="str">
        <x:v>Seven data rows. Earlier larger archived registers are not silently substituted for this file.</x:v>
      </x:c>
      <x:c r="G32" s="4"/>
      <x:c r="H32" s="4"/>
      <x:c r="I32" s="4"/>
      <x:c r="J32" s="4"/>
      <x:c r="K32" s="4"/>
      <x:c r="L32" s="4"/>
      <x:c r="M32" s="4"/>
      <x:c r="N32" s="4"/>
      <x:c r="O32" s="4"/>
    </x:row>
    <x:row r="33" ht="78" customHeight="1">
      <x:c r="A33" s="18" t="str">
        <x:v>S29</x:v>
      </x:c>
      <x:c r="B33" s="18" t="str">
        <x:v>Offline strategy</x:v>
      </x:c>
      <x:c r="C33" s="18" t="str">
        <x:v>Repository source</x:v>
      </x:c>
      <x:c r="D33" s="18" t="str">
        <x:v>https://drive.google.com/file/d/1MfqXhpuBfw0_UTLl33NdfNU_bbGIekq7/view</x:v>
      </x:c>
      <x:c r="E33" s="18" t="str">
        <x:v>2026-09-27</x:v>
      </x:c>
      <x:c r="F33" s="18" t="str">
        <x:v>Contains older navigation terminology; current implementation behavior still needs tracing.</x:v>
      </x:c>
      <x:c r="G33" s="4"/>
      <x:c r="H33" s="4"/>
      <x:c r="I33" s="4"/>
      <x:c r="J33" s="4"/>
      <x:c r="K33" s="4"/>
      <x:c r="L33" s="4"/>
      <x:c r="M33" s="4"/>
      <x:c r="N33" s="4"/>
      <x:c r="O33" s="4"/>
    </x:row>
    <x:row r="34" ht="78" customHeight="1">
      <x:c r="A34" s="18" t="str">
        <x:v>S30</x:v>
      </x:c>
      <x:c r="B34" s="18" t="str">
        <x:v>Android signing artifact metadata</x:v>
      </x:c>
      <x:c r="C34" s="18" t="str">
        <x:v>Repository source</x:v>
      </x:c>
      <x:c r="D34" s="18" t="str">
        <x:v>https://drive.google.com/file/d/1m8qAjoBhpeD7sopp8Xld0sFMtJw5bN9E/view</x:v>
      </x:c>
      <x:c r="E34" s="18" t="str">
        <x:v>2026-09-27</x:v>
      </x:c>
      <x:c r="F34" s="18" t="str">
        <x:v>Metadata only. Contents, validity and secret values were not opened or tested.</x:v>
      </x:c>
      <x:c r="G34" s="4"/>
      <x:c r="H34" s="4"/>
      <x:c r="I34" s="4"/>
      <x:c r="J34" s="4"/>
      <x:c r="K34" s="4"/>
      <x:c r="L34" s="4"/>
      <x:c r="M34" s="4"/>
      <x:c r="N34" s="4"/>
      <x:c r="O34" s="4"/>
    </x:row>
    <x:row r="35" ht="78" customHeight="1">
      <x:c r="A35" s="18" t="str">
        <x:v>S31</x:v>
      </x:c>
      <x:c r="B35" s="18" t="str">
        <x:v>Web environment artifact metadata</x:v>
      </x:c>
      <x:c r="C35" s="18" t="str">
        <x:v>Repository source</x:v>
      </x:c>
      <x:c r="D35" s="18" t="str">
        <x:v>https://drive.google.com/file/d/1CkBh6849kWtd8TJ3jLKJgRnr2xuPJdVC/view</x:v>
      </x:c>
      <x:c r="E35" s="18" t="str">
        <x:v>2026-09-27</x:v>
      </x:c>
      <x:c r="F35" s="18" t="str">
        <x:v>Metadata only. Contents were not opened; no assertion that every variable is a secret.</x:v>
      </x:c>
      <x:c r="G35" s="4"/>
      <x:c r="H35" s="4"/>
      <x:c r="I35" s="4"/>
      <x:c r="J35" s="4"/>
      <x:c r="K35" s="4"/>
      <x:c r="L35" s="4"/>
      <x:c r="M35" s="4"/>
      <x:c r="N35" s="4"/>
      <x:c r="O35" s="4"/>
    </x:row>
    <x:row r="36" ht="78" customHeight="1">
      <x:c r="A36" s="18" t="str">
        <x:v>S32</x:v>
      </x:c>
      <x:c r="B36" s="18" t="str">
        <x:v>Batch 11 native recovery implementation report</x:v>
      </x:c>
      <x:c r="C36" s="18" t="str">
        <x:v>Repository source</x:v>
      </x:c>
      <x:c r="D36" s="18" t="str">
        <x:v>https://drive.google.com/file/d/1vp1WgODK5ubxzL3JNnRXFcX-keL9xbHZ/view</x:v>
      </x:c>
      <x:c r="E36" s="18" t="str">
        <x:v>2026-09-27</x:v>
      </x:c>
      <x:c r="F36" s="18" t="str">
        <x:v>Prior delivery evidence, not newly executed native tests.</x:v>
      </x:c>
      <x:c r="G36" s="4"/>
      <x:c r="H36" s="4"/>
      <x:c r="I36" s="4"/>
      <x:c r="J36" s="4"/>
      <x:c r="K36" s="4"/>
      <x:c r="L36" s="4"/>
      <x:c r="M36" s="4"/>
      <x:c r="N36" s="4"/>
      <x:c r="O36" s="4"/>
    </x:row>
    <x:row r="37" ht="78" customHeight="1">
      <x:c r="A37" s="18" t="str">
        <x:v>S33</x:v>
      </x:c>
      <x:c r="B37" s="18" t="str">
        <x:v>Batch 12 iOS recovery implementation report</x:v>
      </x:c>
      <x:c r="C37" s="18" t="str">
        <x:v>Repository source</x:v>
      </x:c>
      <x:c r="D37" s="18" t="str">
        <x:v>https://drive.google.com/file/d/15o1Drd2x0ONDhceGwWOuniIikgTZF2DV/view</x:v>
      </x:c>
      <x:c r="E37" s="18" t="str">
        <x:v>2026-09-27</x:v>
      </x:c>
      <x:c r="F37" s="18" t="str">
        <x:v>Prior archived delivery, not proof of installation into canonical source or Apple SDK verification.</x:v>
      </x:c>
      <x:c r="G37" s="4"/>
      <x:c r="H37" s="4"/>
      <x:c r="I37" s="4"/>
      <x:c r="J37" s="4"/>
      <x:c r="K37" s="4"/>
      <x:c r="L37" s="4"/>
      <x:c r="M37" s="4"/>
      <x:c r="N37" s="4"/>
      <x:c r="O37" s="4"/>
    </x:row>
    <x:row r="38" ht="78" customHeight="1">
      <x:c r="A38" s="18" t="str">
        <x:v>S34</x:v>
      </x:c>
      <x:c r="B38" s="18" t="str">
        <x:v>Complete conversation archive upload receipt</x:v>
      </x:c>
      <x:c r="C38" s="18" t="str">
        <x:v>Repository source</x:v>
      </x:c>
      <x:c r="D38" s="18" t="str">
        <x:v>https://drive.google.com/file/d/1YqCsDqxWC-b1AbQd69fQfDAPp5NrICLT/view</x:v>
      </x:c>
      <x:c r="E38" s="18" t="str">
        <x:v>2026-09-27</x:v>
      </x:c>
      <x:c r="F38" s="18" t="str">
        <x:v>Prior receipt expressly distinguishes archive preservation from individually installed repository files.</x:v>
      </x:c>
      <x:c r="G38" s="4"/>
      <x:c r="H38" s="4"/>
      <x:c r="I38" s="4"/>
      <x:c r="J38" s="4"/>
      <x:c r="K38" s="4"/>
      <x:c r="L38" s="4"/>
      <x:c r="M38" s="4"/>
      <x:c r="N38" s="4"/>
      <x:c r="O38" s="4"/>
    </x:row>
    <x:row r="39" ht="78" customHeight="1">
      <x:c r="A39" s="18" t="str">
        <x:v>E01</x:v>
      </x:c>
      <x:c r="B39" s="18" t="str">
        <x:v>Permission metadata observations</x:v>
      </x:c>
      <x:c r="C39" s="18" t="str">
        <x:v>This-review observation</x:v>
      </x:c>
      <x:c r="D39" s="18" t="str">
        <x:v>evidence/drive_permission_observations.json</x:v>
      </x:c>
      <x:c r="E39" s="18" t="str">
        <x:v>2026-09-27</x:v>
      </x:c>
      <x:c r="F39" s="18" t="str">
        <x:v>Root, keystore file and .env.local each returned anyone/writer. No ACL changes or secret reads.</x:v>
      </x:c>
      <x:c r="G39" s="4"/>
      <x:c r="H39" s="4"/>
      <x:c r="I39" s="4"/>
      <x:c r="J39" s="4"/>
      <x:c r="K39" s="4"/>
      <x:c r="L39" s="4"/>
      <x:c r="M39" s="4"/>
      <x:c r="N39" s="4"/>
      <x:c r="O39" s="4"/>
    </x:row>
    <x:row r="40" ht="78" customHeight="1">
      <x:c r="A40" s="18" t="str">
        <x:v>E02</x:v>
      </x:c>
      <x:c r="B40" s="18" t="str">
        <x:v>Current source versus first implementation archive</x:v>
      </x:c>
      <x:c r="C40" s="18" t="str">
        <x:v>This-review comparison</x:v>
      </x:c>
      <x:c r="D40" s="18" t="str">
        <x:v>evidence/current_vs_first_implemented_patch.json</x:v>
      </x:c>
      <x:c r="E40" s="18" t="str">
        <x:v>2026-09-27</x:v>
      </x:c>
      <x:c r="F40" s="18" t="str">
        <x:v>Three current canonical files differ from archived proposed replacements; preserve newer changes when reconciling.</x:v>
      </x:c>
      <x:c r="G40" s="4"/>
      <x:c r="H40" s="4"/>
      <x:c r="I40" s="4"/>
      <x:c r="J40" s="4"/>
      <x:c r="K40" s="4"/>
      <x:c r="L40" s="4"/>
      <x:c r="M40" s="4"/>
      <x:c r="N40" s="4"/>
      <x:c r="O40" s="4"/>
    </x:row>
    <x:row r="41" ht="78" customHeight="1">
      <x:c r="A41" s="18" t="str">
        <x:v>E03</x:v>
      </x:c>
      <x:c r="B41" s="18" t="str">
        <x:v>Boundary-validator reproduction</x:v>
      </x:c>
      <x:c r="C41" s="18" t="str">
        <x:v>This-review execution</x:v>
      </x:c>
      <x:c r="D41" s="18" t="str">
        <x:v>evidence/boundary_reproduction.json</x:v>
      </x:c>
      <x:c r="E41" s="18" t="str">
        <x:v>2026-09-27</x:v>
      </x:c>
      <x:c r="F41" s="18" t="str">
        <x:v>Minimal fixture passes; adding exact current inventory triggers lexical rejection. Not a full CI execution.</x:v>
      </x:c>
      <x:c r="G41" s="4"/>
      <x:c r="H41" s="4"/>
      <x:c r="I41" s="4"/>
      <x:c r="J41" s="4"/>
      <x:c r="K41" s="4"/>
      <x:c r="L41" s="4"/>
      <x:c r="M41" s="4"/>
      <x:c r="N41" s="4"/>
      <x:c r="O41" s="4"/>
    </x:row>
    <x:row r="42" ht="78" customHeight="1">
      <x:c r="A42" s="18" t="str">
        <x:v>E04</x:v>
      </x:c>
      <x:c r="B42" s="18" t="str">
        <x:v>Public Worker and OTP reproductions</x:v>
      </x:c>
      <x:c r="C42" s="18" t="str">
        <x:v>This-review execution</x:v>
      </x:c>
      <x:c r="D42" s="18" t="str">
        <x:v>evidence/current_source_observations.json</x:v>
      </x:c>
      <x:c r="E42" s="18" t="str">
        <x:v>2026-09-27</x:v>
      </x:c>
      <x:c r="F42" s="18" t="str">
        <x:v>Three synthetic tests reproduce mixed freshness, media digest bypass, and global OTP contention.</x:v>
      </x:c>
      <x:c r="G42" s="4"/>
      <x:c r="H42" s="4"/>
      <x:c r="I42" s="4"/>
      <x:c r="J42" s="4"/>
      <x:c r="K42" s="4"/>
      <x:c r="L42" s="4"/>
      <x:c r="M42" s="4"/>
      <x:c r="N42" s="4"/>
      <x:c r="O42" s="4"/>
    </x:row>
    <x:row r="43" ht="78" customHeight="1">
      <x:c r="A43" s="18" t="str">
        <x:v>E05</x:v>
      </x:c>
      <x:c r="B43" s="18" t="str">
        <x:v>Payment/checkout regression log</x:v>
      </x:c>
      <x:c r="C43" s="18" t="str">
        <x:v>This-review execution</x:v>
      </x:c>
      <x:c r="D43" s="18" t="str">
        <x:v>evidence/payment_suite.log</x:v>
      </x:c>
      <x:c r="E43" s="18" t="str">
        <x:v>2026-09-27</x:v>
      </x:c>
      <x:c r="F43" s="18" t="str">
        <x:v>432 tests pass against reconstructed test context with freshly matched service cores.</x:v>
      </x:c>
      <x:c r="G43" s="4"/>
      <x:c r="H43" s="4"/>
      <x:c r="I43" s="4"/>
      <x:c r="J43" s="4"/>
      <x:c r="K43" s="4"/>
      <x:c r="L43" s="4"/>
      <x:c r="M43" s="4"/>
      <x:c r="N43" s="4"/>
      <x:c r="O43" s="4"/>
    </x:row>
    <x:row r="44" ht="78" customHeight="1">
      <x:c r="A44" s="18" t="str">
        <x:v>E06</x:v>
      </x:c>
      <x:c r="B44" s="18" t="str">
        <x:v>Authentication regression log</x:v>
      </x:c>
      <x:c r="C44" s="18" t="str">
        <x:v>This-review execution</x:v>
      </x:c>
      <x:c r="D44" s="18" t="str">
        <x:v>evidence/auth_suite.log</x:v>
      </x:c>
      <x:c r="E44" s="18" t="str">
        <x:v>2026-09-27</x:v>
      </x:c>
      <x:c r="F44" s="18" t="str">
        <x:v>77 tests pass against reconstructed test context with freshly matched IdentityService.</x:v>
      </x:c>
      <x:c r="G44" s="4"/>
      <x:c r="H44" s="4"/>
      <x:c r="I44" s="4"/>
      <x:c r="J44" s="4"/>
      <x:c r="K44" s="4"/>
      <x:c r="L44" s="4"/>
      <x:c r="M44" s="4"/>
      <x:c r="N44" s="4"/>
      <x:c r="O44" s="4"/>
    </x:row>
    <x:row r="45" ht="78" customHeight="1">
      <x:c r="A45" s="18" t="str">
        <x:v>E07</x:v>
      </x:c>
      <x:c r="B45" s="18" t="str">
        <x:v>Fresh core comparison and lock consistency</x:v>
      </x:c>
      <x:c r="C45" s="18" t="str">
        <x:v>This-review comparison</x:v>
      </x:c>
      <x:c r="D45" s="18" t="str">
        <x:v>evidence/fresh_core_archive_comparison.json</x:v>
      </x:c>
      <x:c r="E45" s="18" t="str">
        <x:v>2026-09-27</x:v>
      </x:c>
      <x:c r="F45" s="18" t="str">
        <x:v>Three current service cores equal archived context. Dependency root match is not an advisory/security audit.</x:v>
      </x:c>
      <x:c r="G45" s="4"/>
      <x:c r="H45" s="4"/>
      <x:c r="I45" s="4"/>
      <x:c r="J45" s="4"/>
      <x:c r="K45" s="4"/>
      <x:c r="L45" s="4"/>
      <x:c r="M45" s="4"/>
      <x:c r="N45" s="4"/>
      <x:c r="O45" s="4"/>
    </x:row>
    <x:row r="46" ht="78" customHeight="1">
      <x:c r="A46" s="18" t="str">
        <x:v>W01</x:v>
      </x:c>
      <x:c r="B46" s="18" t="str">
        <x:v>Google Drive permission model</x:v>
      </x:c>
      <x:c r="C46" s="18" t="str">
        <x:v>External primary guidance</x:v>
      </x:c>
      <x:c r="D46" s="18" t="str">
        <x:v>https://developers.google.com/workspace/drive/api/reference/rest/v3/permissions</x:v>
      </x:c>
      <x:c r="E46" s="18" t="str">
        <x:v>2026-09-27</x:v>
      </x:c>
      <x:c r="F46" s="18" t="str">
        <x:v>anyone/writer denotes link-holder write access; allowFileDiscovery controls discovery, not confidentiality.</x:v>
      </x:c>
      <x:c r="G46" s="4"/>
      <x:c r="H46" s="4"/>
      <x:c r="I46" s="4"/>
      <x:c r="J46" s="4"/>
      <x:c r="K46" s="4"/>
      <x:c r="L46" s="4"/>
      <x:c r="M46" s="4"/>
      <x:c r="N46" s="4"/>
      <x:c r="O46" s="4"/>
    </x:row>
    <x:row r="47" ht="78" customHeight="1">
      <x:c r="A47" s="18" t="str">
        <x:v>W02</x:v>
      </x:c>
      <x:c r="B47" s="18" t="str">
        <x:v>Cloudflare D1 limits</x:v>
      </x:c>
      <x:c r="C47" s="18" t="str">
        <x:v>External primary guidance</x:v>
      </x:c>
      <x:c r="D47" s="18" t="str">
        <x:v>https://developers.cloudflare.com/d1/platform/limits/</x:v>
      </x:c>
      <x:c r="E47" s="18" t="str">
        <x:v>2026-09-27</x:v>
      </x:c>
      <x:c r="F47" s="18" t="str">
        <x:v>Database/query/bind limits and single-database sequential execution require capacity tests.</x:v>
      </x:c>
      <x:c r="G47" s="4"/>
      <x:c r="H47" s="4"/>
      <x:c r="I47" s="4"/>
      <x:c r="J47" s="4"/>
      <x:c r="K47" s="4"/>
      <x:c r="L47" s="4"/>
      <x:c r="M47" s="4"/>
      <x:c r="N47" s="4"/>
      <x:c r="O47" s="4"/>
    </x:row>
    <x:row r="48" ht="78" customHeight="1">
      <x:c r="A48" s="18" t="str">
        <x:v>W03</x:v>
      </x:c>
      <x:c r="B48" s="18" t="str">
        <x:v>Cloudflare D1 database API</x:v>
      </x:c>
      <x:c r="C48" s="18" t="str">
        <x:v>External primary guidance</x:v>
      </x:c>
      <x:c r="D48" s="18" t="str">
        <x:v>https://developers.cloudflare.com/d1/worker-api/d1-database/</x:v>
      </x:c>
      <x:c r="E48" s="18" t="str">
        <x:v>2026-09-27</x:v>
      </x:c>
      <x:c r="F48" s="18" t="str">
        <x:v>Batch transaction semantics and session/read-consistency facilities; not cross-database transactions.</x:v>
      </x:c>
      <x:c r="G48" s="4"/>
      <x:c r="H48" s="4"/>
      <x:c r="I48" s="4"/>
      <x:c r="J48" s="4"/>
      <x:c r="K48" s="4"/>
      <x:c r="L48" s="4"/>
      <x:c r="M48" s="4"/>
      <x:c r="N48" s="4"/>
      <x:c r="O48" s="4"/>
    </x:row>
    <x:row r="49" ht="78" customHeight="1">
      <x:c r="A49" s="18" t="str">
        <x:v>W04</x:v>
      </x:c>
      <x:c r="B49" s="18" t="str">
        <x:v>Cloudflare D1 data location</x:v>
      </x:c>
      <x:c r="C49" s="18" t="str">
        <x:v>External primary guidance</x:v>
      </x:c>
      <x:c r="D49" s="18" t="str">
        <x:v>https://developers.cloudflare.com/d1/configuration/data-location/</x:v>
      </x:c>
      <x:c r="E49" s="18" t="str">
        <x:v>2026-09-27</x:v>
      </x:c>
      <x:c r="F49" s="18" t="str">
        <x:v>Location hints are not guarantees; documentation says D1 databases do not run in Africa.</x:v>
      </x:c>
      <x:c r="G49" s="4"/>
      <x:c r="H49" s="4"/>
      <x:c r="I49" s="4"/>
      <x:c r="J49" s="4"/>
      <x:c r="K49" s="4"/>
      <x:c r="L49" s="4"/>
      <x:c r="M49" s="4"/>
      <x:c r="N49" s="4"/>
      <x:c r="O49" s="4"/>
    </x:row>
    <x:row r="50" ht="78" customHeight="1">
      <x:c r="A50" s="18" t="str">
        <x:v>W05</x:v>
      </x:c>
      <x:c r="B50" s="18" t="str">
        <x:v>Cloudflare Workers testing</x:v>
      </x:c>
      <x:c r="C50" s="18" t="str">
        <x:v>External primary guidance</x:v>
      </x:c>
      <x:c r="D50" s="18" t="str">
        <x:v>https://developers.cloudflare.com/workers/testing/</x:v>
      </x:c>
      <x:c r="E50" s="18" t="str">
        <x:v>2026-09-27</x:v>
      </x:c>
      <x:c r="F50" s="18" t="str">
        <x:v>Run runtime-specific tests, not only Node simulations.</x:v>
      </x:c>
      <x:c r="G50" s="4"/>
      <x:c r="H50" s="4"/>
      <x:c r="I50" s="4"/>
      <x:c r="J50" s="4"/>
      <x:c r="K50" s="4"/>
      <x:c r="L50" s="4"/>
      <x:c r="M50" s="4"/>
      <x:c r="N50" s="4"/>
      <x:c r="O50" s="4"/>
    </x:row>
    <x:row r="51" ht="78" customHeight="1">
      <x:c r="A51" s="18" t="str">
        <x:v>W06</x:v>
      </x:c>
      <x:c r="B51" s="18" t="str">
        <x:v>Workers Vitest integration</x:v>
      </x:c>
      <x:c r="C51" s="18" t="str">
        <x:v>External primary guidance</x:v>
      </x:c>
      <x:c r="D51" s="18" t="str">
        <x:v>https://developers.cloudflare.com/workers/testing/vitest-integration/</x:v>
      </x:c>
      <x:c r="E51" s="18" t="str">
        <x:v>2026-09-27</x:v>
      </x:c>
      <x:c r="F51" s="18" t="str">
        <x:v>Current runtime integration guidance; pin compatible packages rather than reusing historical snippets.</x:v>
      </x:c>
      <x:c r="G51" s="4"/>
      <x:c r="H51" s="4"/>
      <x:c r="I51" s="4"/>
      <x:c r="J51" s="4"/>
      <x:c r="K51" s="4"/>
      <x:c r="L51" s="4"/>
      <x:c r="M51" s="4"/>
      <x:c r="N51" s="4"/>
      <x:c r="O51" s="4"/>
    </x:row>
    <x:row r="52" ht="78" customHeight="1">
      <x:c r="A52" s="18" t="str">
        <x:v>W07</x:v>
      </x:c>
      <x:c r="B52" s="18" t="str">
        <x:v>Cloudflare Queues delivery guarantees</x:v>
      </x:c>
      <x:c r="C52" s="18" t="str">
        <x:v>External primary guidance</x:v>
      </x:c>
      <x:c r="D52" s="18" t="str">
        <x:v>https://developers.cloudflare.com/queues/reference/delivery-guarantees/</x:v>
      </x:c>
      <x:c r="E52" s="18" t="str">
        <x:v>2026-09-27</x:v>
      </x:c>
      <x:c r="F52" s="18" t="str">
        <x:v>At-least-once delivery requires idempotent effects and recovery.</x:v>
      </x:c>
      <x:c r="G52" s="4"/>
      <x:c r="H52" s="4"/>
      <x:c r="I52" s="4"/>
      <x:c r="J52" s="4"/>
      <x:c r="K52" s="4"/>
      <x:c r="L52" s="4"/>
      <x:c r="M52" s="4"/>
      <x:c r="N52" s="4"/>
      <x:c r="O52" s="4"/>
    </x:row>
    <x:row r="53" ht="78" customHeight="1">
      <x:c r="A53" s="18" t="str">
        <x:v>W08</x:v>
      </x:c>
      <x:c r="B53" s="18" t="str">
        <x:v>Cloudflare Access in Workers</x:v>
      </x:c>
      <x:c r="C53" s="18" t="str">
        <x:v>External primary guidance</x:v>
      </x:c>
      <x:c r="D53" s="18" t="str">
        <x:v>https://developers.cloudflare.com/workers/configuration/cloudflare-access/</x:v>
      </x:c>
      <x:c r="E53" s="18" t="str">
        <x:v>2026-09-27</x:v>
      </x:c>
      <x:c r="F53" s="18" t="str">
        <x:v>ctx.access is supported; direct invocation and propagation constraints require actual integration testing.</x:v>
      </x:c>
      <x:c r="G53" s="4"/>
      <x:c r="H53" s="4"/>
      <x:c r="I53" s="4"/>
      <x:c r="J53" s="4"/>
      <x:c r="K53" s="4"/>
      <x:c r="L53" s="4"/>
      <x:c r="M53" s="4"/>
      <x:c r="N53" s="4"/>
      <x:c r="O53" s="4"/>
    </x:row>
    <x:row r="54" ht="78" customHeight="1">
      <x:c r="A54" s="18" t="str">
        <x:v>W09</x:v>
      </x:c>
      <x:c r="B54" s="18" t="str">
        <x:v>Supabase backups</x:v>
      </x:c>
      <x:c r="C54" s="18" t="str">
        <x:v>External primary guidance</x:v>
      </x:c>
      <x:c r="D54" s="18" t="str">
        <x:v>https://supabase.com/docs/guides/platform/backups</x:v>
      </x:c>
      <x:c r="E54" s="18" t="str">
        <x:v>2026-09-27</x:v>
      </x:c>
      <x:c r="F54" s="18" t="str">
        <x:v>Database backups do not contain Storage object originals.</x:v>
      </x:c>
      <x:c r="G54" s="4"/>
      <x:c r="H54" s="4"/>
      <x:c r="I54" s="4"/>
      <x:c r="J54" s="4"/>
      <x:c r="K54" s="4"/>
      <x:c r="L54" s="4"/>
      <x:c r="M54" s="4"/>
      <x:c r="N54" s="4"/>
      <x:c r="O54" s="4"/>
    </x:row>
    <x:row r="55" ht="78" customHeight="1">
      <x:c r="A55" s="18" t="str">
        <x:v>W10</x:v>
      </x:c>
      <x:c r="B55" s="18" t="str">
        <x:v>Next.js TypeScript configuration</x:v>
      </x:c>
      <x:c r="C55" s="18" t="str">
        <x:v>External primary guidance</x:v>
      </x:c>
      <x:c r="D55" s="18" t="str">
        <x:v>https://nextjs.org/docs/pages/api-reference/config/next-config-js/typescript</x:v>
      </x:c>
      <x:c r="E55" s="18" t="str">
        <x:v>2026-09-27</x:v>
      </x:c>
      <x:c r="F55" s="18" t="str">
        <x:v>ignoreBuildErrors bypasses build checking; enforce an independent type-check before deployment.</x:v>
      </x:c>
      <x:c r="G55" s="4"/>
      <x:c r="H55" s="4"/>
      <x:c r="I55" s="4"/>
      <x:c r="J55" s="4"/>
      <x:c r="K55" s="4"/>
      <x:c r="L55" s="4"/>
      <x:c r="M55" s="4"/>
      <x:c r="N55" s="4"/>
      <x:c r="O55" s="4"/>
    </x:row>
    <x:row r="56" ht="78" customHeight="1">
      <x:c r="A56" s="18" t="str">
        <x:v>W11</x:v>
      </x:c>
      <x:c r="B56" s="18" t="str">
        <x:v>OWASP ASVS</x:v>
      </x:c>
      <x:c r="C56" s="18" t="str">
        <x:v>External primary guidance</x:v>
      </x:c>
      <x:c r="D56" s="18" t="str">
        <x:v>https://owasp.org/www-project-application-security-verification-standard/</x:v>
      </x:c>
      <x:c r="E56" s="18" t="str">
        <x:v>2026-09-27</x:v>
      </x:c>
      <x:c r="F56" s="18" t="str">
        <x:v>Use a versioned verification baseline; the latest stable listed version is 5.0.</x:v>
      </x:c>
      <x:c r="G56" s="4"/>
      <x:c r="H56" s="4"/>
      <x:c r="I56" s="4"/>
      <x:c r="J56" s="4"/>
      <x:c r="K56" s="4"/>
      <x:c r="L56" s="4"/>
      <x:c r="M56" s="4"/>
      <x:c r="N56" s="4"/>
      <x:c r="O56" s="4"/>
    </x:row>
    <x:row r="57" ht="78" customHeight="1">
      <x:c r="A57" s="18" t="str">
        <x:v>W12</x:v>
      </x:c>
      <x:c r="B57" s="18" t="str">
        <x:v>OWASP MASVS</x:v>
      </x:c>
      <x:c r="C57" s="18" t="str">
        <x:v>External primary guidance</x:v>
      </x:c>
      <x:c r="D57" s="18" t="str">
        <x:v>https://mas.owasp.org/MASVS/</x:v>
      </x:c>
      <x:c r="E57" s="18" t="str">
        <x:v>2026-09-27</x:v>
      </x:c>
      <x:c r="F57" s="18" t="str">
        <x:v>Mobile verification categories include storage, cryptography, authentication, network and platform controls.</x:v>
      </x:c>
      <x:c r="G57" s="4"/>
      <x:c r="H57" s="4"/>
      <x:c r="I57" s="4"/>
      <x:c r="J57" s="4"/>
      <x:c r="K57" s="4"/>
      <x:c r="L57" s="4"/>
      <x:c r="M57" s="4"/>
      <x:c r="N57" s="4"/>
      <x:c r="O57" s="4"/>
    </x:row>
    <x:row r="58" ht="78" customHeight="1">
      <x:c r="A58" s="18" t="str">
        <x:v>W13</x:v>
      </x:c>
      <x:c r="B58" s="18" t="str">
        <x:v>GitHub Actions secure use</x:v>
      </x:c>
      <x:c r="C58" s="18" t="str">
        <x:v>External primary guidance</x:v>
      </x:c>
      <x:c r="D58" s="18" t="str">
        <x:v>https://docs.github.com/en/actions/reference/security/secure-use</x:v>
      </x:c>
      <x:c r="E58" s="18" t="str">
        <x:v>2026-09-27</x:v>
      </x:c>
      <x:c r="F58" s="18" t="str">
        <x:v>Immutable action pins, least privilege and workflow protection; source workflow is not runtime permissions proof.</x:v>
      </x:c>
      <x:c r="G58" s="4"/>
      <x:c r="H58" s="4"/>
      <x:c r="I58" s="4"/>
      <x:c r="J58" s="4"/>
      <x:c r="K58" s="4"/>
      <x:c r="L58" s="4"/>
      <x:c r="M58" s="4"/>
      <x:c r="N58" s="4"/>
      <x:c r="O58" s="4"/>
    </x:row>
    <x:row r="59" ht="78" customHeight="1">
      <x:c r="A59" s="18" t="str">
        <x:v>W14</x:v>
      </x:c>
      <x:c r="B59" s="18" t="str">
        <x:v>W3C WCAG 2.2</x:v>
      </x:c>
      <x:c r="C59" s="18" t="str">
        <x:v>External primary guidance</x:v>
      </x:c>
      <x:c r="D59" s="18" t="str">
        <x:v>https://www.w3.org/TR/WCAG22/</x:v>
      </x:c>
      <x:c r="E59" s="18" t="str">
        <x:v>2026-09-27</x:v>
      </x:c>
      <x:c r="F59" s="18" t="str">
        <x:v>Use testable accessibility criteria alongside native assistive-technology testing.</x:v>
      </x:c>
      <x:c r="G59" s="4"/>
      <x:c r="H59" s="4"/>
      <x:c r="I59" s="4"/>
      <x:c r="J59" s="4"/>
      <x:c r="K59" s="4"/>
      <x:c r="L59" s="4"/>
      <x:c r="M59" s="4"/>
      <x:c r="N59" s="4"/>
      <x:c r="O59" s="4"/>
    </x:row>
    <x:row r="60" ht="78" customHeight="1">
      <x:c r="A60" s="18" t="str">
        <x:v>W15</x:v>
      </x:c>
      <x:c r="B60" s="18" t="str">
        <x:v>Apple App Review Guidelines</x:v>
      </x:c>
      <x:c r="C60" s="18" t="str">
        <x:v>External primary guidance</x:v>
      </x:c>
      <x:c r="D60" s="18" t="str">
        <x:v>https://developer.apple.com/app-store/review/guidelines/</x:v>
      </x:c>
      <x:c r="E60" s="18" t="str">
        <x:v>2026-09-27</x:v>
      </x:c>
      <x:c r="F60" s="18" t="str">
        <x:v>Review white-label submission, minimum functionality, digital/physical payments, privacy and contest policies by applicable section.</x:v>
      </x:c>
      <x:c r="G60" s="4"/>
      <x:c r="H60" s="4"/>
      <x:c r="I60" s="4"/>
      <x:c r="J60" s="4"/>
      <x:c r="K60" s="4"/>
      <x:c r="L60" s="4"/>
      <x:c r="M60" s="4"/>
      <x:c r="N60" s="4"/>
      <x:c r="O60" s="4"/>
    </x:row>
    <x:row r="61" ht="78" customHeight="1">
      <x:c r="A61" s="18" t="str">
        <x:v>W16</x:v>
      </x:c>
      <x:c r="B61" s="18" t="str">
        <x:v>Apple account deletion guidance</x:v>
      </x:c>
      <x:c r="C61" s="18" t="str">
        <x:v>External primary guidance</x:v>
      </x:c>
      <x:c r="D61" s="18" t="str">
        <x:v>https://developer.apple.com/support/offering-account-deletion-in-your-app</x:v>
      </x:c>
      <x:c r="E61" s="18" t="str">
        <x:v>2026-09-27</x:v>
      </x:c>
      <x:c r="F61" s="18" t="str">
        <x:v>Account deletion initiation is required for account-creating apps; deactivation alone is insufficient.</x:v>
      </x:c>
      <x:c r="G61" s="4"/>
      <x:c r="H61" s="4"/>
      <x:c r="I61" s="4"/>
      <x:c r="J61" s="4"/>
      <x:c r="K61" s="4"/>
      <x:c r="L61" s="4"/>
      <x:c r="M61" s="4"/>
      <x:c r="N61" s="4"/>
      <x:c r="O61" s="4"/>
    </x:row>
    <x:row r="62" ht="78" customHeight="1">
      <x:c r="A62" s="18" t="str">
        <x:v>W17</x:v>
      </x:c>
      <x:c r="B62" s="18" t="str">
        <x:v>Apple SDK submission minimums</x:v>
      </x:c>
      <x:c r="C62" s="18" t="str">
        <x:v>External primary guidance</x:v>
      </x:c>
      <x:c r="D62" s="18" t="str">
        <x:v>https://developer.apple.com/news/?id=ueeok6yw</x:v>
      </x:c>
      <x:c r="E62" s="18" t="str">
        <x:v>2026-09-27</x:v>
      </x:c>
      <x:c r="F62" s="18" t="str">
        <x:v>From 28 April 2026, iOS uploads need iOS 26 SDK or later. This is not the minimum user OS.</x:v>
      </x:c>
      <x:c r="G62" s="4"/>
      <x:c r="H62" s="4"/>
      <x:c r="I62" s="4"/>
      <x:c r="J62" s="4"/>
      <x:c r="K62" s="4"/>
      <x:c r="L62" s="4"/>
      <x:c r="M62" s="4"/>
      <x:c r="N62" s="4"/>
      <x:c r="O62" s="4"/>
    </x:row>
    <x:row r="63" ht="78" customHeight="1">
      <x:c r="A63" s="18" t="str">
        <x:v>W18</x:v>
      </x:c>
      <x:c r="B63" s="18" t="str">
        <x:v>Google Play Payments policy</x:v>
      </x:c>
      <x:c r="C63" s="18" t="str">
        <x:v>External primary guidance</x:v>
      </x:c>
      <x:c r="D63" s="18" t="str">
        <x:v>https://support.google.com/googleplay/android-developer/answer/9858738?hl=en</x:v>
      </x:c>
      <x:c r="E63" s="18" t="str">
        <x:v>2026-09-27</x:v>
      </x:c>
      <x:c r="F63" s="18" t="str">
        <x:v>Classify physical goods/services separately from digital benefits and check regional exceptions at release.</x:v>
      </x:c>
      <x:c r="G63" s="4"/>
      <x:c r="H63" s="4"/>
      <x:c r="I63" s="4"/>
      <x:c r="J63" s="4"/>
      <x:c r="K63" s="4"/>
      <x:c r="L63" s="4"/>
      <x:c r="M63" s="4"/>
      <x:c r="N63" s="4"/>
      <x:c r="O63" s="4"/>
    </x:row>
    <x:row r="64" ht="78" customHeight="1">
      <x:c r="A64" s="18" t="str">
        <x:v>W19</x:v>
      </x:c>
      <x:c r="B64" s="18" t="str">
        <x:v>Rwanda DPP Law, transfer/storage</x:v>
      </x:c>
      <x:c r="C64" s="18" t="str">
        <x:v>External primary guidance</x:v>
      </x:c>
      <x:c r="D64" s="18" t="str">
        <x:v>https://dpo.gov.rw/dpp-law/sharing-transferstorage-and-retention-of-personal-data</x:v>
      </x:c>
      <x:c r="E64" s="18" t="str">
        <x:v>2026-09-27</x:v>
      </x:c>
      <x:c r="F64" s="18" t="str">
        <x:v>Article 48 transfer grounds and Article 50 authorization for foreign storage are distinct.</x:v>
      </x:c>
      <x:c r="G64" s="4"/>
      <x:c r="H64" s="4"/>
      <x:c r="I64" s="4"/>
      <x:c r="J64" s="4"/>
      <x:c r="K64" s="4"/>
      <x:c r="L64" s="4"/>
      <x:c r="M64" s="4"/>
      <x:c r="N64" s="4"/>
      <x:c r="O64" s="4"/>
    </x:row>
    <x:row r="65" ht="78" customHeight="1">
      <x:c r="A65" s="18" t="str">
        <x:v>W20</x:v>
      </x:c>
      <x:c r="B65" s="18" t="str">
        <x:v>Rwanda DPO registration</x:v>
      </x:c>
      <x:c r="C65" s="18" t="str">
        <x:v>External primary guidance</x:v>
      </x:c>
      <x:c r="D65" s="18" t="str">
        <x:v>https://dpo.gov.rw/dpp-law/registration-of-a-data-controller-and-a-data-processor</x:v>
      </x:c>
      <x:c r="E65" s="18" t="str">
        <x:v>2026-09-27</x:v>
      </x:c>
      <x:c r="F65" s="18" t="str">
        <x:v>Confirm applicable controller/processor registration; do not infer certificates from code.</x:v>
      </x:c>
      <x:c r="G65" s="4"/>
      <x:c r="H65" s="4"/>
      <x:c r="I65" s="4"/>
      <x:c r="J65" s="4"/>
      <x:c r="K65" s="4"/>
      <x:c r="L65" s="4"/>
      <x:c r="M65" s="4"/>
      <x:c r="N65" s="4"/>
      <x:c r="O65" s="4"/>
    </x:row>
    <x:row r="66" ht="78" customHeight="1">
      <x:c r="A66" s="18" t="str">
        <x:v>W21</x:v>
      </x:c>
      <x:c r="B66" s="18" t="str">
        <x:v>Rwanda DPO foreign storage authorization</x:v>
      </x:c>
      <x:c r="C66" s="18" t="str">
        <x:v>External primary guidance</x:v>
      </x:c>
      <x:c r="D66" s="18" t="str">
        <x:v>https://dpo.gov.rw/services/authorization-to-store-outside-rwanda</x:v>
      </x:c>
      <x:c r="E66" s="18" t="str">
        <x:v>2026-09-27</x:v>
      </x:c>
      <x:c r="F66" s="18" t="str">
        <x:v>Validate the actual certificate and authorized storage footprint.</x:v>
      </x:c>
      <x:c r="G66" s="4"/>
      <x:c r="H66" s="4"/>
      <x:c r="I66" s="4"/>
      <x:c r="J66" s="4"/>
      <x:c r="K66" s="4"/>
      <x:c r="L66" s="4"/>
      <x:c r="M66" s="4"/>
      <x:c r="N66" s="4"/>
      <x:c r="O66" s="4"/>
    </x:row>
    <x:row r="67" ht="78" customHeight="1">
      <x:c r="A67" s="18" t="str">
        <x:v>W22</x:v>
      </x:c>
      <x:c r="B67" s="18" t="str">
        <x:v>Rwanda DPP scope</x:v>
      </x:c>
      <x:c r="C67" s="18" t="str">
        <x:v>External primary guidance</x:v>
      </x:c>
      <x:c r="D67" s="18" t="str">
        <x:v>https://dpo.gov.rw/dpp-law/general-provisions</x:v>
      </x:c>
      <x:c r="E67" s="18" t="str">
        <x:v>2026-09-27</x:v>
      </x:c>
      <x:c r="F67" s="18" t="str">
        <x:v>Applies to relevant Rwanda processing and processing of data subjects located in Rwanda.</x:v>
      </x:c>
      <x:c r="G67" s="4"/>
      <x:c r="H67" s="4"/>
      <x:c r="I67" s="4"/>
      <x:c r="J67" s="4"/>
      <x:c r="K67" s="4"/>
      <x:c r="L67" s="4"/>
      <x:c r="M67" s="4"/>
      <x:c r="N67" s="4"/>
      <x:c r="O67" s="4"/>
    </x:row>
    <x:row r="68" ht="78" customHeight="1">
      <x:c r="A68" s="18" t="str">
        <x:v>W23</x:v>
      </x:c>
      <x:c r="B68" s="18" t="str">
        <x:v>Rwanda collection transparency guidance</x:v>
      </x:c>
      <x:c r="C68" s="18" t="str">
        <x:v>External primary guidance</x:v>
      </x:c>
      <x:c r="D68" s="18" t="str">
        <x:v>https://dpo.gov.rw/guidance/data-subjects/know-your-rights-to-privacy-when-you-are-requested-for-your-personal-data</x:v>
      </x:c>
      <x:c r="E68" s="18" t="str">
        <x:v>2026-09-27</x:v>
      </x:c>
      <x:c r="F68" s="18" t="str">
        <x:v>Notices cover purpose, recipients, retention, rights and relevant foreign transfers.</x:v>
      </x:c>
      <x:c r="G68" s="4"/>
      <x:c r="H68" s="4"/>
      <x:c r="I68" s="4"/>
      <x:c r="J68" s="4"/>
      <x:c r="K68" s="4"/>
      <x:c r="L68" s="4"/>
      <x:c r="M68" s="4"/>
      <x:c r="N68" s="4"/>
      <x:c r="O68" s="4"/>
    </x:row>
    <x:row r="69">
      <x:c r="A69" s="4"/>
      <x:c r="B69" s="4"/>
      <x:c r="C69" s="4"/>
      <x:c r="D69" s="4"/>
      <x:c r="E69" s="4"/>
      <x:c r="F69" s="4"/>
      <x:c r="G69" s="4"/>
      <x:c r="H69" s="4"/>
      <x:c r="I69" s="4"/>
      <x:c r="J69" s="4"/>
      <x:c r="K69" s="4"/>
      <x:c r="L69" s="4"/>
      <x:c r="M69" s="4"/>
      <x:c r="N69" s="4"/>
      <x:c r="O69" s="4"/>
    </x:row>
    <x:row r="70">
      <x:c r="A70" s="4"/>
      <x:c r="B70" s="4"/>
      <x:c r="C70" s="4"/>
      <x:c r="D70" s="4"/>
      <x:c r="E70" s="4"/>
      <x:c r="F70" s="4"/>
      <x:c r="G70" s="4"/>
      <x:c r="H70" s="4"/>
      <x:c r="I70" s="4"/>
      <x:c r="J70" s="4"/>
      <x:c r="K70" s="4"/>
      <x:c r="L70" s="4"/>
      <x:c r="M70" s="4"/>
      <x:c r="N70" s="4"/>
      <x:c r="O70" s="4"/>
    </x:row>
    <x:row r="71">
      <x:c r="A71" s="4"/>
      <x:c r="B71" s="4"/>
      <x:c r="C71" s="4"/>
      <x:c r="D71" s="4"/>
      <x:c r="E71" s="4"/>
      <x:c r="F71" s="4"/>
      <x:c r="G71" s="4"/>
      <x:c r="H71" s="4"/>
      <x:c r="I71" s="4"/>
      <x:c r="J71" s="4"/>
      <x:c r="K71" s="4"/>
      <x:c r="L71" s="4"/>
      <x:c r="M71" s="4"/>
      <x:c r="N71" s="4"/>
      <x:c r="O71" s="4"/>
    </x:row>
    <x:row r="72">
      <x:c r="A72" s="4"/>
      <x:c r="B72" s="4"/>
      <x:c r="C72" s="4"/>
      <x:c r="D72" s="4"/>
      <x:c r="E72" s="4"/>
      <x:c r="F72" s="4"/>
      <x:c r="G72" s="4"/>
      <x:c r="H72" s="4"/>
      <x:c r="I72" s="4"/>
      <x:c r="J72" s="4"/>
      <x:c r="K72" s="4"/>
      <x:c r="L72" s="4"/>
      <x:c r="M72" s="4"/>
      <x:c r="N72" s="4"/>
      <x:c r="O72" s="4"/>
    </x:row>
    <x:row r="73">
      <x:c r="A73" s="4"/>
      <x:c r="B73" s="4"/>
      <x:c r="C73" s="4"/>
      <x:c r="D73" s="4"/>
      <x:c r="E73" s="4"/>
      <x:c r="F73" s="4"/>
      <x:c r="G73" s="4"/>
      <x:c r="H73" s="4"/>
      <x:c r="I73" s="4"/>
      <x:c r="J73" s="4"/>
      <x:c r="K73" s="4"/>
      <x:c r="L73" s="4"/>
      <x:c r="M73" s="4"/>
      <x:c r="N73" s="4"/>
      <x:c r="O73" s="4"/>
    </x:row>
    <x:row r="74">
      <x:c r="A74" s="4"/>
      <x:c r="B74" s="4"/>
      <x:c r="C74" s="4"/>
      <x:c r="D74" s="4"/>
      <x:c r="E74" s="4"/>
      <x:c r="F74" s="4"/>
      <x:c r="G74" s="4"/>
      <x:c r="H74" s="4"/>
      <x:c r="I74" s="4"/>
      <x:c r="J74" s="4"/>
      <x:c r="K74" s="4"/>
      <x:c r="L74" s="4"/>
      <x:c r="M74" s="4"/>
      <x:c r="N74" s="4"/>
      <x:c r="O74" s="4"/>
    </x:row>
    <x:row r="75">
      <x:c r="A75" s="4"/>
      <x:c r="B75" s="4"/>
      <x:c r="C75" s="4"/>
      <x:c r="D75" s="4"/>
      <x:c r="E75" s="4"/>
      <x:c r="F75" s="4"/>
      <x:c r="G75" s="4"/>
      <x:c r="H75" s="4"/>
      <x:c r="I75" s="4"/>
      <x:c r="J75" s="4"/>
      <x:c r="K75" s="4"/>
      <x:c r="L75" s="4"/>
      <x:c r="M75" s="4"/>
      <x:c r="N75" s="4"/>
      <x:c r="O75" s="4"/>
    </x:row>
    <x:row r="76">
      <x:c r="A76" s="4"/>
      <x:c r="B76" s="4"/>
      <x:c r="C76" s="4"/>
      <x:c r="D76" s="4"/>
      <x:c r="E76" s="4"/>
      <x:c r="F76" s="4"/>
      <x:c r="G76" s="4"/>
      <x:c r="H76" s="4"/>
      <x:c r="I76" s="4"/>
      <x:c r="J76" s="4"/>
      <x:c r="K76" s="4"/>
      <x:c r="L76" s="4"/>
      <x:c r="M76" s="4"/>
      <x:c r="N76" s="4"/>
      <x:c r="O76" s="4"/>
    </x:row>
    <x:row r="77">
      <x:c r="A77" s="4"/>
      <x:c r="B77" s="4"/>
      <x:c r="C77" s="4"/>
      <x:c r="D77" s="4"/>
      <x:c r="E77" s="4"/>
      <x:c r="F77" s="4"/>
      <x:c r="G77" s="4"/>
      <x:c r="H77" s="4"/>
      <x:c r="I77" s="4"/>
      <x:c r="J77" s="4"/>
      <x:c r="K77" s="4"/>
      <x:c r="L77" s="4"/>
      <x:c r="M77" s="4"/>
      <x:c r="N77" s="4"/>
      <x:c r="O77" s="4"/>
    </x:row>
    <x:row r="78">
      <x:c r="A78" s="4"/>
      <x:c r="B78" s="4"/>
      <x:c r="C78" s="4"/>
      <x:c r="D78" s="4"/>
      <x:c r="E78" s="4"/>
      <x:c r="F78" s="4"/>
      <x:c r="G78" s="4"/>
      <x:c r="H78" s="4"/>
      <x:c r="I78" s="4"/>
      <x:c r="J78" s="4"/>
      <x:c r="K78" s="4"/>
      <x:c r="L78" s="4"/>
      <x:c r="M78" s="4"/>
      <x:c r="N78" s="4"/>
      <x:c r="O78" s="4"/>
    </x:row>
    <x:row r="79">
      <x:c r="A79" s="4"/>
      <x:c r="B79" s="4"/>
      <x:c r="C79" s="4"/>
      <x:c r="D79" s="4"/>
      <x:c r="E79" s="4"/>
      <x:c r="F79" s="4"/>
      <x:c r="G79" s="4"/>
      <x:c r="H79" s="4"/>
      <x:c r="I79" s="4"/>
      <x:c r="J79" s="4"/>
      <x:c r="K79" s="4"/>
      <x:c r="L79" s="4"/>
      <x:c r="M79" s="4"/>
      <x:c r="N79" s="4"/>
      <x:c r="O79" s="4"/>
    </x:row>
    <x:row r="80">
      <x:c r="A80" s="4"/>
      <x:c r="B80" s="4"/>
      <x:c r="C80" s="4"/>
      <x:c r="D80" s="4"/>
      <x:c r="E80" s="4"/>
      <x:c r="F80" s="4"/>
      <x:c r="G80" s="4"/>
      <x:c r="H80" s="4"/>
      <x:c r="I80" s="4"/>
      <x:c r="J80" s="4"/>
      <x:c r="K80" s="4"/>
      <x:c r="L80" s="4"/>
      <x:c r="M80" s="4"/>
      <x:c r="N80" s="4"/>
      <x:c r="O80" s="4"/>
    </x:row>
    <x:row r="81">
      <x:c r="A81" s="4"/>
      <x:c r="B81" s="4"/>
      <x:c r="C81" s="4"/>
      <x:c r="D81" s="4"/>
      <x:c r="E81" s="4"/>
      <x:c r="F81" s="4"/>
      <x:c r="G81" s="4"/>
      <x:c r="H81" s="4"/>
      <x:c r="I81" s="4"/>
      <x:c r="J81" s="4"/>
      <x:c r="K81" s="4"/>
      <x:c r="L81" s="4"/>
      <x:c r="M81" s="4"/>
      <x:c r="N81" s="4"/>
      <x:c r="O81" s="4"/>
    </x:row>
    <x:row r="82">
      <x:c r="A82" s="4"/>
      <x:c r="B82" s="4"/>
      <x:c r="C82" s="4"/>
      <x:c r="D82" s="4"/>
      <x:c r="E82" s="4"/>
      <x:c r="F82" s="4"/>
      <x:c r="G82" s="4"/>
      <x:c r="H82" s="4"/>
      <x:c r="I82" s="4"/>
      <x:c r="J82" s="4"/>
      <x:c r="K82" s="4"/>
      <x:c r="L82" s="4"/>
      <x:c r="M82" s="4"/>
      <x:c r="N82" s="4"/>
      <x:c r="O82" s="4"/>
    </x:row>
    <x:row r="83">
      <x:c r="A83" s="4"/>
      <x:c r="B83" s="4"/>
      <x:c r="C83" s="4"/>
      <x:c r="D83" s="4"/>
      <x:c r="E83" s="4"/>
      <x:c r="F83" s="4"/>
      <x:c r="G83" s="4"/>
      <x:c r="H83" s="4"/>
      <x:c r="I83" s="4"/>
      <x:c r="J83" s="4"/>
      <x:c r="K83" s="4"/>
      <x:c r="L83" s="4"/>
      <x:c r="M83" s="4"/>
      <x:c r="N83" s="4"/>
      <x:c r="O83" s="4"/>
    </x:row>
    <x:row r="84">
      <x:c r="A84" s="4"/>
      <x:c r="B84" s="4"/>
      <x:c r="C84" s="4"/>
      <x:c r="D84" s="4"/>
      <x:c r="E84" s="4"/>
      <x:c r="F84" s="4"/>
      <x:c r="G84" s="4"/>
      <x:c r="H84" s="4"/>
      <x:c r="I84" s="4"/>
      <x:c r="J84" s="4"/>
      <x:c r="K84" s="4"/>
      <x:c r="L84" s="4"/>
      <x:c r="M84" s="4"/>
      <x:c r="N84" s="4"/>
      <x:c r="O84" s="4"/>
    </x:row>
    <x:row r="85">
      <x:c r="A85" s="4"/>
      <x:c r="B85" s="4"/>
      <x:c r="C85" s="4"/>
      <x:c r="D85" s="4"/>
      <x:c r="E85" s="4"/>
      <x:c r="F85" s="4"/>
      <x:c r="G85" s="4"/>
      <x:c r="H85" s="4"/>
      <x:c r="I85" s="4"/>
      <x:c r="J85" s="4"/>
      <x:c r="K85" s="4"/>
      <x:c r="L85" s="4"/>
      <x:c r="M85" s="4"/>
      <x:c r="N85" s="4"/>
      <x:c r="O85" s="4"/>
    </x:row>
    <x:row r="86">
      <x:c r="A86" s="4"/>
      <x:c r="B86" s="4"/>
      <x:c r="C86" s="4"/>
      <x:c r="D86" s="4"/>
      <x:c r="E86" s="4"/>
      <x:c r="F86" s="4"/>
      <x:c r="G86" s="4"/>
      <x:c r="H86" s="4"/>
      <x:c r="I86" s="4"/>
      <x:c r="J86" s="4"/>
      <x:c r="K86" s="4"/>
      <x:c r="L86" s="4"/>
      <x:c r="M86" s="4"/>
      <x:c r="N86" s="4"/>
      <x:c r="O86" s="4"/>
    </x:row>
    <x:row r="87">
      <x:c r="A87" s="4"/>
      <x:c r="B87" s="4"/>
      <x:c r="C87" s="4"/>
      <x:c r="D87" s="4"/>
      <x:c r="E87" s="4"/>
      <x:c r="F87" s="4"/>
      <x:c r="G87" s="4"/>
      <x:c r="H87" s="4"/>
      <x:c r="I87" s="4"/>
      <x:c r="J87" s="4"/>
      <x:c r="K87" s="4"/>
      <x:c r="L87" s="4"/>
      <x:c r="M87" s="4"/>
      <x:c r="N87" s="4"/>
      <x:c r="O87" s="4"/>
    </x:row>
    <x:row r="88">
      <x:c r="A88" s="4"/>
      <x:c r="B88" s="4"/>
      <x:c r="C88" s="4"/>
      <x:c r="D88" s="4"/>
      <x:c r="E88" s="4"/>
      <x:c r="F88" s="4"/>
      <x:c r="G88" s="4"/>
      <x:c r="H88" s="4"/>
      <x:c r="I88" s="4"/>
      <x:c r="J88" s="4"/>
      <x:c r="K88" s="4"/>
      <x:c r="L88" s="4"/>
      <x:c r="M88" s="4"/>
      <x:c r="N88" s="4"/>
      <x:c r="O88" s="4"/>
    </x:row>
    <x:row r="89">
      <x:c r="A89" s="4"/>
      <x:c r="B89" s="4"/>
      <x:c r="C89" s="4"/>
      <x:c r="D89" s="4"/>
      <x:c r="E89" s="4"/>
      <x:c r="F89" s="4"/>
      <x:c r="G89" s="4"/>
      <x:c r="H89" s="4"/>
      <x:c r="I89" s="4"/>
      <x:c r="J89" s="4"/>
      <x:c r="K89" s="4"/>
      <x:c r="L89" s="4"/>
      <x:c r="M89" s="4"/>
      <x:c r="N89" s="4"/>
      <x:c r="O89" s="4"/>
    </x:row>
    <x:row r="90">
      <x:c r="A90" s="4"/>
      <x:c r="B90" s="4"/>
      <x:c r="C90" s="4"/>
      <x:c r="D90" s="4"/>
      <x:c r="E90" s="4"/>
      <x:c r="F90" s="4"/>
      <x:c r="G90" s="4"/>
      <x:c r="H90" s="4"/>
      <x:c r="I90" s="4"/>
      <x:c r="J90" s="4"/>
      <x:c r="K90" s="4"/>
      <x:c r="L90" s="4"/>
      <x:c r="M90" s="4"/>
      <x:c r="N90" s="4"/>
      <x:c r="O90" s="4"/>
    </x:row>
    <x:row r="91">
      <x:c r="A91" s="4"/>
      <x:c r="B91" s="4"/>
      <x:c r="C91" s="4"/>
      <x:c r="D91" s="4"/>
      <x:c r="E91" s="4"/>
      <x:c r="F91" s="4"/>
      <x:c r="G91" s="4"/>
      <x:c r="H91" s="4"/>
      <x:c r="I91" s="4"/>
      <x:c r="J91" s="4"/>
      <x:c r="K91" s="4"/>
      <x:c r="L91" s="4"/>
      <x:c r="M91" s="4"/>
      <x:c r="N91" s="4"/>
      <x:c r="O91" s="4"/>
    </x:row>
    <x:row r="92">
      <x:c r="A92" s="4"/>
      <x:c r="B92" s="4"/>
      <x:c r="C92" s="4"/>
      <x:c r="D92" s="4"/>
      <x:c r="E92" s="4"/>
      <x:c r="F92" s="4"/>
      <x:c r="G92" s="4"/>
      <x:c r="H92" s="4"/>
      <x:c r="I92" s="4"/>
      <x:c r="J92" s="4"/>
      <x:c r="K92" s="4"/>
      <x:c r="L92" s="4"/>
      <x:c r="M92" s="4"/>
      <x:c r="N92" s="4"/>
      <x:c r="O92" s="4"/>
    </x:row>
    <x:row r="93">
      <x:c r="A93" s="4"/>
      <x:c r="B93" s="4"/>
      <x:c r="C93" s="4"/>
      <x:c r="D93" s="4"/>
      <x:c r="E93" s="4"/>
      <x:c r="F93" s="4"/>
      <x:c r="G93" s="4"/>
      <x:c r="H93" s="4"/>
      <x:c r="I93" s="4"/>
      <x:c r="J93" s="4"/>
      <x:c r="K93" s="4"/>
      <x:c r="L93" s="4"/>
      <x:c r="M93" s="4"/>
      <x:c r="N93" s="4"/>
      <x:c r="O93" s="4"/>
    </x:row>
    <x:row r="94">
      <x:c r="A94" s="4"/>
      <x:c r="B94" s="4"/>
      <x:c r="C94" s="4"/>
      <x:c r="D94" s="4"/>
      <x:c r="E94" s="4"/>
      <x:c r="F94" s="4"/>
      <x:c r="G94" s="4"/>
      <x:c r="H94" s="4"/>
      <x:c r="I94" s="4"/>
      <x:c r="J94" s="4"/>
      <x:c r="K94" s="4"/>
      <x:c r="L94" s="4"/>
      <x:c r="M94" s="4"/>
      <x:c r="N94" s="4"/>
      <x:c r="O94" s="4"/>
    </x:row>
    <x:row r="95">
      <x:c r="A95" s="4"/>
      <x:c r="B95" s="4"/>
      <x:c r="C95" s="4"/>
      <x:c r="D95" s="4"/>
      <x:c r="E95" s="4"/>
      <x:c r="F95" s="4"/>
      <x:c r="G95" s="4"/>
      <x:c r="H95" s="4"/>
      <x:c r="I95" s="4"/>
      <x:c r="J95" s="4"/>
      <x:c r="K95" s="4"/>
      <x:c r="L95" s="4"/>
      <x:c r="M95" s="4"/>
      <x:c r="N95" s="4"/>
      <x:c r="O95" s="4"/>
    </x:row>
    <x:row r="96">
      <x:c r="A96" s="4"/>
      <x:c r="B96" s="4"/>
      <x:c r="C96" s="4"/>
      <x:c r="D96" s="4"/>
      <x:c r="E96" s="4"/>
      <x:c r="F96" s="4"/>
      <x:c r="G96" s="4"/>
      <x:c r="H96" s="4"/>
      <x:c r="I96" s="4"/>
      <x:c r="J96" s="4"/>
      <x:c r="K96" s="4"/>
      <x:c r="L96" s="4"/>
      <x:c r="M96" s="4"/>
      <x:c r="N96" s="4"/>
      <x:c r="O96" s="4"/>
    </x:row>
    <x:row r="97">
      <x:c r="A97" s="4"/>
      <x:c r="B97" s="4"/>
      <x:c r="C97" s="4"/>
      <x:c r="D97" s="4"/>
      <x:c r="E97" s="4"/>
      <x:c r="F97" s="4"/>
      <x:c r="G97" s="4"/>
      <x:c r="H97" s="4"/>
      <x:c r="I97" s="4"/>
      <x:c r="J97" s="4"/>
      <x:c r="K97" s="4"/>
      <x:c r="L97" s="4"/>
      <x:c r="M97" s="4"/>
      <x:c r="N97" s="4"/>
      <x:c r="O97" s="4"/>
    </x:row>
    <x:row r="98">
      <x:c r="A98" s="4"/>
      <x:c r="B98" s="4"/>
      <x:c r="C98" s="4"/>
      <x:c r="D98" s="4"/>
      <x:c r="E98" s="4"/>
      <x:c r="F98" s="4"/>
      <x:c r="G98" s="4"/>
      <x:c r="H98" s="4"/>
      <x:c r="I98" s="4"/>
      <x:c r="J98" s="4"/>
      <x:c r="K98" s="4"/>
      <x:c r="L98" s="4"/>
      <x:c r="M98" s="4"/>
      <x:c r="N98" s="4"/>
      <x:c r="O98" s="4"/>
    </x:row>
    <x:row r="99">
      <x:c r="A99" s="4"/>
      <x:c r="B99" s="4"/>
      <x:c r="C99" s="4"/>
      <x:c r="D99" s="4"/>
      <x:c r="E99" s="4"/>
      <x:c r="F99" s="4"/>
      <x:c r="G99" s="4"/>
      <x:c r="H99" s="4"/>
      <x:c r="I99" s="4"/>
      <x:c r="J99" s="4"/>
      <x:c r="K99" s="4"/>
      <x:c r="L99" s="4"/>
      <x:c r="M99" s="4"/>
      <x:c r="N99" s="4"/>
      <x:c r="O99" s="4"/>
    </x:row>
    <x:row r="100">
      <x:c r="A100" s="4"/>
      <x:c r="B100" s="4"/>
      <x:c r="C100" s="4"/>
      <x:c r="D100" s="4"/>
      <x:c r="E100" s="4"/>
      <x:c r="F100" s="4"/>
      <x:c r="G100" s="4"/>
      <x:c r="H100" s="4"/>
      <x:c r="I100" s="4"/>
      <x:c r="J100" s="4"/>
      <x:c r="K100" s="4"/>
      <x:c r="L100" s="4"/>
      <x:c r="M100" s="4"/>
      <x:c r="N100" s="4"/>
      <x:c r="O100" s="4"/>
    </x:row>
    <x:row r="101">
      <x:c r="A101" s="4"/>
      <x:c r="B101" s="4"/>
      <x:c r="C101" s="4"/>
      <x:c r="D101" s="4"/>
      <x:c r="E101" s="4"/>
      <x:c r="F101" s="4"/>
      <x:c r="G101" s="4"/>
      <x:c r="H101" s="4"/>
      <x:c r="I101" s="4"/>
      <x:c r="J101" s="4"/>
      <x:c r="K101" s="4"/>
      <x:c r="L101" s="4"/>
      <x:c r="M101" s="4"/>
      <x:c r="N101" s="4"/>
      <x:c r="O101" s="4"/>
    </x:row>
    <x:row r="102">
      <x:c r="A102" s="4"/>
      <x:c r="B102" s="4"/>
      <x:c r="C102" s="4"/>
      <x:c r="D102" s="4"/>
      <x:c r="E102" s="4"/>
      <x:c r="F102" s="4"/>
      <x:c r="G102" s="4"/>
      <x:c r="H102" s="4"/>
      <x:c r="I102" s="4"/>
      <x:c r="J102" s="4"/>
      <x:c r="K102" s="4"/>
      <x:c r="L102" s="4"/>
      <x:c r="M102" s="4"/>
      <x:c r="N102" s="4"/>
      <x:c r="O102" s="4"/>
    </x:row>
    <x:row r="103">
      <x:c r="A103" s="4"/>
      <x:c r="B103" s="4"/>
      <x:c r="C103" s="4"/>
      <x:c r="D103" s="4"/>
      <x:c r="E103" s="4"/>
      <x:c r="F103" s="4"/>
      <x:c r="G103" s="4"/>
      <x:c r="H103" s="4"/>
      <x:c r="I103" s="4"/>
      <x:c r="J103" s="4"/>
      <x:c r="K103" s="4"/>
      <x:c r="L103" s="4"/>
      <x:c r="M103" s="4"/>
      <x:c r="N103" s="4"/>
      <x:c r="O103" s="4"/>
    </x:row>
    <x:row r="104">
      <x:c r="A104" s="4"/>
      <x:c r="B104" s="4"/>
      <x:c r="C104" s="4"/>
      <x:c r="D104" s="4"/>
      <x:c r="E104" s="4"/>
      <x:c r="F104" s="4"/>
      <x:c r="G104" s="4"/>
      <x:c r="H104" s="4"/>
      <x:c r="I104" s="4"/>
      <x:c r="J104" s="4"/>
      <x:c r="K104" s="4"/>
      <x:c r="L104" s="4"/>
      <x:c r="M104" s="4"/>
      <x:c r="N104" s="4"/>
      <x:c r="O104" s="4"/>
    </x:row>
    <x:row r="105">
      <x:c r="A105" s="4"/>
      <x:c r="B105" s="4"/>
      <x:c r="C105" s="4"/>
      <x:c r="D105" s="4"/>
      <x:c r="E105" s="4"/>
      <x:c r="F105" s="4"/>
      <x:c r="G105" s="4"/>
      <x:c r="H105" s="4"/>
      <x:c r="I105" s="4"/>
      <x:c r="J105" s="4"/>
      <x:c r="K105" s="4"/>
      <x:c r="L105" s="4"/>
      <x:c r="M105" s="4"/>
      <x:c r="N105" s="4"/>
      <x:c r="O105" s="4"/>
    </x:row>
    <x:row r="106">
      <x:c r="A106" s="4"/>
      <x:c r="B106" s="4"/>
      <x:c r="C106" s="4"/>
      <x:c r="D106" s="4"/>
      <x:c r="E106" s="4"/>
      <x:c r="F106" s="4"/>
      <x:c r="G106" s="4"/>
      <x:c r="H106" s="4"/>
      <x:c r="I106" s="4"/>
      <x:c r="J106" s="4"/>
      <x:c r="K106" s="4"/>
      <x:c r="L106" s="4"/>
      <x:c r="M106" s="4"/>
      <x:c r="N106" s="4"/>
      <x:c r="O106" s="4"/>
    </x:row>
    <x:row r="107">
      <x:c r="A107" s="4"/>
      <x:c r="B107" s="4"/>
      <x:c r="C107" s="4"/>
      <x:c r="D107" s="4"/>
      <x:c r="E107" s="4"/>
      <x:c r="F107" s="4"/>
      <x:c r="G107" s="4"/>
      <x:c r="H107" s="4"/>
      <x:c r="I107" s="4"/>
      <x:c r="J107" s="4"/>
      <x:c r="K107" s="4"/>
      <x:c r="L107" s="4"/>
      <x:c r="M107" s="4"/>
      <x:c r="N107" s="4"/>
      <x:c r="O107" s="4"/>
    </x:row>
    <x:row r="108">
      <x:c r="A108" s="4"/>
      <x:c r="B108" s="4"/>
      <x:c r="C108" s="4"/>
      <x:c r="D108" s="4"/>
      <x:c r="E108" s="4"/>
      <x:c r="F108" s="4"/>
      <x:c r="G108" s="4"/>
      <x:c r="H108" s="4"/>
      <x:c r="I108" s="4"/>
      <x:c r="J108" s="4"/>
      <x:c r="K108" s="4"/>
      <x:c r="L108" s="4"/>
      <x:c r="M108" s="4"/>
      <x:c r="N108" s="4"/>
      <x:c r="O108" s="4"/>
    </x:row>
    <x:row r="109">
      <x:c r="A109" s="4"/>
      <x:c r="B109" s="4"/>
      <x:c r="C109" s="4"/>
      <x:c r="D109" s="4"/>
      <x:c r="E109" s="4"/>
      <x:c r="F109" s="4"/>
      <x:c r="G109" s="4"/>
      <x:c r="H109" s="4"/>
      <x:c r="I109" s="4"/>
      <x:c r="J109" s="4"/>
      <x:c r="K109" s="4"/>
      <x:c r="L109" s="4"/>
      <x:c r="M109" s="4"/>
      <x:c r="N109" s="4"/>
      <x:c r="O109" s="4"/>
    </x:row>
    <x:row r="110">
      <x:c r="A110" s="4"/>
      <x:c r="B110" s="4"/>
      <x:c r="C110" s="4"/>
      <x:c r="D110" s="4"/>
      <x:c r="E110" s="4"/>
      <x:c r="F110" s="4"/>
      <x:c r="G110" s="4"/>
      <x:c r="H110" s="4"/>
      <x:c r="I110" s="4"/>
      <x:c r="J110" s="4"/>
      <x:c r="K110" s="4"/>
      <x:c r="L110" s="4"/>
      <x:c r="M110" s="4"/>
      <x:c r="N110" s="4"/>
      <x:c r="O110" s="4"/>
    </x:row>
    <x:row r="111">
      <x:c r="A111" s="4"/>
      <x:c r="B111" s="4"/>
      <x:c r="C111" s="4"/>
      <x:c r="D111" s="4"/>
      <x:c r="E111" s="4"/>
      <x:c r="F111" s="4"/>
      <x:c r="G111" s="4"/>
      <x:c r="H111" s="4"/>
      <x:c r="I111" s="4"/>
      <x:c r="J111" s="4"/>
      <x:c r="K111" s="4"/>
      <x:c r="L111" s="4"/>
      <x:c r="M111" s="4"/>
      <x:c r="N111" s="4"/>
      <x:c r="O111" s="4"/>
    </x:row>
    <x:row r="112">
      <x:c r="A112" s="4"/>
      <x:c r="B112" s="4"/>
      <x:c r="C112" s="4"/>
      <x:c r="D112" s="4"/>
      <x:c r="E112" s="4"/>
      <x:c r="F112" s="4"/>
      <x:c r="G112" s="4"/>
      <x:c r="H112" s="4"/>
      <x:c r="I112" s="4"/>
      <x:c r="J112" s="4"/>
      <x:c r="K112" s="4"/>
      <x:c r="L112" s="4"/>
      <x:c r="M112" s="4"/>
      <x:c r="N112" s="4"/>
      <x:c r="O112" s="4"/>
    </x:row>
    <x:row r="113">
      <x:c r="A113" s="4"/>
      <x:c r="B113" s="4"/>
      <x:c r="C113" s="4"/>
      <x:c r="D113" s="4"/>
      <x:c r="E113" s="4"/>
      <x:c r="F113" s="4"/>
      <x:c r="G113" s="4"/>
      <x:c r="H113" s="4"/>
      <x:c r="I113" s="4"/>
      <x:c r="J113" s="4"/>
      <x:c r="K113" s="4"/>
      <x:c r="L113" s="4"/>
      <x:c r="M113" s="4"/>
      <x:c r="N113" s="4"/>
      <x:c r="O113" s="4"/>
    </x:row>
    <x:row r="114">
      <x:c r="A114" s="4"/>
      <x:c r="B114" s="4"/>
      <x:c r="C114" s="4"/>
      <x:c r="D114" s="4"/>
      <x:c r="E114" s="4"/>
      <x:c r="F114" s="4"/>
      <x:c r="G114" s="4"/>
      <x:c r="H114" s="4"/>
      <x:c r="I114" s="4"/>
      <x:c r="J114" s="4"/>
      <x:c r="K114" s="4"/>
      <x:c r="L114" s="4"/>
      <x:c r="M114" s="4"/>
      <x:c r="N114" s="4"/>
      <x:c r="O114" s="4"/>
    </x:row>
    <x:row r="115">
      <x:c r="A115" s="4"/>
      <x:c r="B115" s="4"/>
      <x:c r="C115" s="4"/>
      <x:c r="D115" s="4"/>
      <x:c r="E115" s="4"/>
      <x:c r="F115" s="4"/>
      <x:c r="G115" s="4"/>
      <x:c r="H115" s="4"/>
      <x:c r="I115" s="4"/>
      <x:c r="J115" s="4"/>
      <x:c r="K115" s="4"/>
      <x:c r="L115" s="4"/>
      <x:c r="M115" s="4"/>
      <x:c r="N115" s="4"/>
      <x:c r="O115" s="4"/>
    </x:row>
    <x:row r="116">
      <x:c r="A116" s="4"/>
      <x:c r="B116" s="4"/>
      <x:c r="C116" s="4"/>
      <x:c r="D116" s="4"/>
      <x:c r="E116" s="4"/>
      <x:c r="F116" s="4"/>
      <x:c r="G116" s="4"/>
      <x:c r="H116" s="4"/>
      <x:c r="I116" s="4"/>
      <x:c r="J116" s="4"/>
      <x:c r="K116" s="4"/>
      <x:c r="L116" s="4"/>
      <x:c r="M116" s="4"/>
      <x:c r="N116" s="4"/>
      <x:c r="O116" s="4"/>
    </x:row>
    <x:row r="117">
      <x:c r="A117" s="4"/>
      <x:c r="B117" s="4"/>
      <x:c r="C117" s="4"/>
      <x:c r="D117" s="4"/>
      <x:c r="E117" s="4"/>
      <x:c r="F117" s="4"/>
      <x:c r="G117" s="4"/>
      <x:c r="H117" s="4"/>
      <x:c r="I117" s="4"/>
      <x:c r="J117" s="4"/>
      <x:c r="K117" s="4"/>
      <x:c r="L117" s="4"/>
      <x:c r="M117" s="4"/>
      <x:c r="N117" s="4"/>
      <x:c r="O117" s="4"/>
    </x:row>
    <x:row r="118">
      <x:c r="A118" s="4"/>
      <x:c r="B118" s="4"/>
      <x:c r="C118" s="4"/>
      <x:c r="D118" s="4"/>
      <x:c r="E118" s="4"/>
      <x:c r="F118" s="4"/>
      <x:c r="G118" s="4"/>
      <x:c r="H118" s="4"/>
      <x:c r="I118" s="4"/>
      <x:c r="J118" s="4"/>
      <x:c r="K118" s="4"/>
      <x:c r="L118" s="4"/>
      <x:c r="M118" s="4"/>
      <x:c r="N118" s="4"/>
      <x:c r="O118" s="4"/>
    </x:row>
    <x:row r="119">
      <x:c r="A119" s="4"/>
      <x:c r="B119" s="4"/>
      <x:c r="C119" s="4"/>
      <x:c r="D119" s="4"/>
      <x:c r="E119" s="4"/>
      <x:c r="F119" s="4"/>
      <x:c r="G119" s="4"/>
      <x:c r="H119" s="4"/>
      <x:c r="I119" s="4"/>
      <x:c r="J119" s="4"/>
      <x:c r="K119" s="4"/>
      <x:c r="L119" s="4"/>
      <x:c r="M119" s="4"/>
      <x:c r="N119" s="4"/>
      <x:c r="O119" s="4"/>
    </x:row>
    <x:row r="120">
      <x:c r="A120" s="4"/>
      <x:c r="B120" s="4"/>
      <x:c r="C120" s="4"/>
      <x:c r="D120" s="4"/>
      <x:c r="E120" s="4"/>
      <x:c r="F120" s="4"/>
      <x:c r="G120" s="4"/>
      <x:c r="H120" s="4"/>
      <x:c r="I120" s="4"/>
      <x:c r="J120" s="4"/>
      <x:c r="K120" s="4"/>
      <x:c r="L120" s="4"/>
      <x:c r="M120" s="4"/>
      <x:c r="N120" s="4"/>
      <x:c r="O120" s="4"/>
    </x:row>
    <x:row r="121">
      <x:c r="A121" s="4"/>
      <x:c r="B121" s="4"/>
      <x:c r="C121" s="4"/>
      <x:c r="D121" s="4"/>
      <x:c r="E121" s="4"/>
      <x:c r="F121" s="4"/>
      <x:c r="G121" s="4"/>
      <x:c r="H121" s="4"/>
      <x:c r="I121" s="4"/>
      <x:c r="J121" s="4"/>
      <x:c r="K121" s="4"/>
      <x:c r="L121" s="4"/>
      <x:c r="M121" s="4"/>
      <x:c r="N121" s="4"/>
      <x:c r="O121" s="4"/>
    </x:row>
    <x:row r="122">
      <x:c r="A122" s="4"/>
      <x:c r="B122" s="4"/>
      <x:c r="C122" s="4"/>
      <x:c r="D122" s="4"/>
      <x:c r="E122" s="4"/>
      <x:c r="F122" s="4"/>
      <x:c r="G122" s="4"/>
      <x:c r="H122" s="4"/>
      <x:c r="I122" s="4"/>
      <x:c r="J122" s="4"/>
      <x:c r="K122" s="4"/>
      <x:c r="L122" s="4"/>
      <x:c r="M122" s="4"/>
      <x:c r="N122" s="4"/>
      <x:c r="O122" s="4"/>
    </x:row>
    <x:row r="123">
      <x:c r="A123" s="4"/>
      <x:c r="B123" s="4"/>
      <x:c r="C123" s="4"/>
      <x:c r="D123" s="4"/>
      <x:c r="E123" s="4"/>
      <x:c r="F123" s="4"/>
      <x:c r="G123" s="4"/>
      <x:c r="H123" s="4"/>
      <x:c r="I123" s="4"/>
      <x:c r="J123" s="4"/>
      <x:c r="K123" s="4"/>
      <x:c r="L123" s="4"/>
      <x:c r="M123" s="4"/>
      <x:c r="N123" s="4"/>
      <x:c r="O123" s="4"/>
    </x:row>
    <x:row r="124">
      <x:c r="A124" s="4"/>
      <x:c r="B124" s="4"/>
      <x:c r="C124" s="4"/>
      <x:c r="D124" s="4"/>
      <x:c r="E124" s="4"/>
      <x:c r="F124" s="4"/>
      <x:c r="G124" s="4"/>
      <x:c r="H124" s="4"/>
      <x:c r="I124" s="4"/>
      <x:c r="J124" s="4"/>
      <x:c r="K124" s="4"/>
      <x:c r="L124" s="4"/>
      <x:c r="M124" s="4"/>
      <x:c r="N124" s="4"/>
      <x:c r="O124" s="4"/>
    </x:row>
    <x:row r="125">
      <x:c r="A125" s="4"/>
      <x:c r="B125" s="4"/>
      <x:c r="C125" s="4"/>
      <x:c r="D125" s="4"/>
      <x:c r="E125" s="4"/>
      <x:c r="F125" s="4"/>
      <x:c r="G125" s="4"/>
      <x:c r="H125" s="4"/>
      <x:c r="I125" s="4"/>
      <x:c r="J125" s="4"/>
      <x:c r="K125" s="4"/>
      <x:c r="L125" s="4"/>
      <x:c r="M125" s="4"/>
      <x:c r="N125" s="4"/>
      <x:c r="O125" s="4"/>
    </x:row>
    <x:row r="126">
      <x:c r="A126" s="4"/>
      <x:c r="B126" s="4"/>
      <x:c r="C126" s="4"/>
      <x:c r="D126" s="4"/>
      <x:c r="E126" s="4"/>
      <x:c r="F126" s="4"/>
      <x:c r="G126" s="4"/>
      <x:c r="H126" s="4"/>
      <x:c r="I126" s="4"/>
      <x:c r="J126" s="4"/>
      <x:c r="K126" s="4"/>
      <x:c r="L126" s="4"/>
      <x:c r="M126" s="4"/>
      <x:c r="N126" s="4"/>
      <x:c r="O126" s="4"/>
    </x:row>
    <x:row r="127">
      <x:c r="A127" s="4"/>
      <x:c r="B127" s="4"/>
      <x:c r="C127" s="4"/>
      <x:c r="D127" s="4"/>
      <x:c r="E127" s="4"/>
      <x:c r="F127" s="4"/>
      <x:c r="G127" s="4"/>
      <x:c r="H127" s="4"/>
      <x:c r="I127" s="4"/>
      <x:c r="J127" s="4"/>
      <x:c r="K127" s="4"/>
      <x:c r="L127" s="4"/>
      <x:c r="M127" s="4"/>
      <x:c r="N127" s="4"/>
      <x:c r="O127" s="4"/>
    </x:row>
    <x:row r="128">
      <x:c r="A128" s="4"/>
      <x:c r="B128" s="4"/>
      <x:c r="C128" s="4"/>
      <x:c r="D128" s="4"/>
      <x:c r="E128" s="4"/>
      <x:c r="F128" s="4"/>
      <x:c r="G128" s="4"/>
      <x:c r="H128" s="4"/>
      <x:c r="I128" s="4"/>
      <x:c r="J128" s="4"/>
      <x:c r="K128" s="4"/>
      <x:c r="L128" s="4"/>
      <x:c r="M128" s="4"/>
      <x:c r="N128" s="4"/>
      <x:c r="O128" s="4"/>
    </x:row>
    <x:row r="129">
      <x:c r="A129" s="4"/>
      <x:c r="B129" s="4"/>
      <x:c r="C129" s="4"/>
      <x:c r="D129" s="4"/>
      <x:c r="E129" s="4"/>
      <x:c r="F129" s="4"/>
      <x:c r="G129" s="4"/>
      <x:c r="H129" s="4"/>
      <x:c r="I129" s="4"/>
      <x:c r="J129" s="4"/>
      <x:c r="K129" s="4"/>
      <x:c r="L129" s="4"/>
      <x:c r="M129" s="4"/>
      <x:c r="N129" s="4"/>
      <x:c r="O129" s="4"/>
    </x:row>
    <x:row r="130">
      <x:c r="A130" s="4"/>
      <x:c r="B130" s="4"/>
      <x:c r="C130" s="4"/>
      <x:c r="D130" s="4"/>
      <x:c r="E130" s="4"/>
      <x:c r="F130" s="4"/>
      <x:c r="G130" s="4"/>
      <x:c r="H130" s="4"/>
      <x:c r="I130" s="4"/>
      <x:c r="J130" s="4"/>
      <x:c r="K130" s="4"/>
      <x:c r="L130" s="4"/>
      <x:c r="M130" s="4"/>
      <x:c r="N130" s="4"/>
      <x:c r="O130" s="4"/>
    </x:row>
    <x:row r="131">
      <x:c r="A131" s="4"/>
      <x:c r="B131" s="4"/>
      <x:c r="C131" s="4"/>
      <x:c r="D131" s="4"/>
      <x:c r="E131" s="4"/>
      <x:c r="F131" s="4"/>
      <x:c r="G131" s="4"/>
      <x:c r="H131" s="4"/>
      <x:c r="I131" s="4"/>
      <x:c r="J131" s="4"/>
      <x:c r="K131" s="4"/>
      <x:c r="L131" s="4"/>
      <x:c r="M131" s="4"/>
      <x:c r="N131" s="4"/>
      <x:c r="O131" s="4"/>
    </x:row>
    <x:row r="132">
      <x:c r="A132" s="4"/>
      <x:c r="B132" s="4"/>
      <x:c r="C132" s="4"/>
      <x:c r="D132" s="4"/>
      <x:c r="E132" s="4"/>
      <x:c r="F132" s="4"/>
      <x:c r="G132" s="4"/>
      <x:c r="H132" s="4"/>
      <x:c r="I132" s="4"/>
      <x:c r="J132" s="4"/>
      <x:c r="K132" s="4"/>
      <x:c r="L132" s="4"/>
      <x:c r="M132" s="4"/>
      <x:c r="N132" s="4"/>
      <x:c r="O132" s="4"/>
    </x:row>
    <x:row r="133">
      <x:c r="A133" s="4"/>
      <x:c r="B133" s="4"/>
      <x:c r="C133" s="4"/>
      <x:c r="D133" s="4"/>
      <x:c r="E133" s="4"/>
      <x:c r="F133" s="4"/>
      <x:c r="G133" s="4"/>
      <x:c r="H133" s="4"/>
      <x:c r="I133" s="4"/>
      <x:c r="J133" s="4"/>
      <x:c r="K133" s="4"/>
      <x:c r="L133" s="4"/>
      <x:c r="M133" s="4"/>
      <x:c r="N133" s="4"/>
      <x:c r="O133" s="4"/>
    </x:row>
    <x:row r="134">
      <x:c r="A134" s="4"/>
      <x:c r="B134" s="4"/>
      <x:c r="C134" s="4"/>
      <x:c r="D134" s="4"/>
      <x:c r="E134" s="4"/>
      <x:c r="F134" s="4"/>
      <x:c r="G134" s="4"/>
      <x:c r="H134" s="4"/>
      <x:c r="I134" s="4"/>
      <x:c r="J134" s="4"/>
      <x:c r="K134" s="4"/>
      <x:c r="L134" s="4"/>
      <x:c r="M134" s="4"/>
      <x:c r="N134" s="4"/>
      <x:c r="O134" s="4"/>
    </x:row>
    <x:row r="135">
      <x:c r="A135" s="4"/>
      <x:c r="B135" s="4"/>
      <x:c r="C135" s="4"/>
      <x:c r="D135" s="4"/>
      <x:c r="E135" s="4"/>
      <x:c r="F135" s="4"/>
      <x:c r="G135" s="4"/>
      <x:c r="H135" s="4"/>
      <x:c r="I135" s="4"/>
      <x:c r="J135" s="4"/>
      <x:c r="K135" s="4"/>
      <x:c r="L135" s="4"/>
      <x:c r="M135" s="4"/>
      <x:c r="N135" s="4"/>
      <x:c r="O135" s="4"/>
    </x:row>
    <x:row r="136">
      <x:c r="A136" s="4"/>
      <x:c r="B136" s="4"/>
      <x:c r="C136" s="4"/>
      <x:c r="D136" s="4"/>
      <x:c r="E136" s="4"/>
      <x:c r="F136" s="4"/>
      <x:c r="G136" s="4"/>
      <x:c r="H136" s="4"/>
      <x:c r="I136" s="4"/>
      <x:c r="J136" s="4"/>
      <x:c r="K136" s="4"/>
      <x:c r="L136" s="4"/>
      <x:c r="M136" s="4"/>
      <x:c r="N136" s="4"/>
      <x:c r="O136" s="4"/>
    </x:row>
    <x:row r="137">
      <x:c r="A137" s="4"/>
      <x:c r="B137" s="4"/>
      <x:c r="C137" s="4"/>
      <x:c r="D137" s="4"/>
      <x:c r="E137" s="4"/>
      <x:c r="F137" s="4"/>
      <x:c r="G137" s="4"/>
      <x:c r="H137" s="4"/>
      <x:c r="I137" s="4"/>
      <x:c r="J137" s="4"/>
      <x:c r="K137" s="4"/>
      <x:c r="L137" s="4"/>
      <x:c r="M137" s="4"/>
      <x:c r="N137" s="4"/>
      <x:c r="O137" s="4"/>
    </x:row>
    <x:row r="138">
      <x:c r="A138" s="4"/>
      <x:c r="B138" s="4"/>
      <x:c r="C138" s="4"/>
      <x:c r="D138" s="4"/>
      <x:c r="E138" s="4"/>
      <x:c r="F138" s="4"/>
      <x:c r="G138" s="4"/>
      <x:c r="H138" s="4"/>
      <x:c r="I138" s="4"/>
      <x:c r="J138" s="4"/>
      <x:c r="K138" s="4"/>
      <x:c r="L138" s="4"/>
      <x:c r="M138" s="4"/>
      <x:c r="N138" s="4"/>
      <x:c r="O138" s="4"/>
    </x:row>
    <x:row r="139">
      <x:c r="A139" s="4"/>
      <x:c r="B139" s="4"/>
      <x:c r="C139" s="4"/>
      <x:c r="D139" s="4"/>
      <x:c r="E139" s="4"/>
      <x:c r="F139" s="4"/>
      <x:c r="G139" s="4"/>
      <x:c r="H139" s="4"/>
      <x:c r="I139" s="4"/>
      <x:c r="J139" s="4"/>
      <x:c r="K139" s="4"/>
      <x:c r="L139" s="4"/>
      <x:c r="M139" s="4"/>
      <x:c r="N139" s="4"/>
      <x:c r="O139" s="4"/>
    </x:row>
    <x:row r="140">
      <x:c r="A140" s="4"/>
      <x:c r="B140" s="4"/>
      <x:c r="C140" s="4"/>
      <x:c r="D140" s="4"/>
      <x:c r="E140" s="4"/>
      <x:c r="F140" s="4"/>
      <x:c r="G140" s="4"/>
      <x:c r="H140" s="4"/>
      <x:c r="I140" s="4"/>
      <x:c r="J140" s="4"/>
      <x:c r="K140" s="4"/>
      <x:c r="L140" s="4"/>
      <x:c r="M140" s="4"/>
      <x:c r="N140" s="4"/>
      <x:c r="O140" s="4"/>
    </x:row>
    <x:row r="141">
      <x:c r="A141" s="4"/>
      <x:c r="B141" s="4"/>
      <x:c r="C141" s="4"/>
      <x:c r="D141" s="4"/>
      <x:c r="E141" s="4"/>
      <x:c r="F141" s="4"/>
      <x:c r="G141" s="4"/>
      <x:c r="H141" s="4"/>
      <x:c r="I141" s="4"/>
      <x:c r="J141" s="4"/>
      <x:c r="K141" s="4"/>
      <x:c r="L141" s="4"/>
      <x:c r="M141" s="4"/>
      <x:c r="N141" s="4"/>
      <x:c r="O141" s="4"/>
    </x:row>
    <x:row r="142">
      <x:c r="A142" s="4"/>
      <x:c r="B142" s="4"/>
      <x:c r="C142" s="4"/>
      <x:c r="D142" s="4"/>
      <x:c r="E142" s="4"/>
      <x:c r="F142" s="4"/>
      <x:c r="G142" s="4"/>
      <x:c r="H142" s="4"/>
      <x:c r="I142" s="4"/>
      <x:c r="J142" s="4"/>
      <x:c r="K142" s="4"/>
      <x:c r="L142" s="4"/>
      <x:c r="M142" s="4"/>
      <x:c r="N142" s="4"/>
      <x:c r="O142" s="4"/>
    </x:row>
    <x:row r="143">
      <x:c r="A143" s="4"/>
      <x:c r="B143" s="4"/>
      <x:c r="C143" s="4"/>
      <x:c r="D143" s="4"/>
      <x:c r="E143" s="4"/>
      <x:c r="F143" s="4"/>
      <x:c r="G143" s="4"/>
      <x:c r="H143" s="4"/>
      <x:c r="I143" s="4"/>
      <x:c r="J143" s="4"/>
      <x:c r="K143" s="4"/>
      <x:c r="L143" s="4"/>
      <x:c r="M143" s="4"/>
      <x:c r="N143" s="4"/>
      <x:c r="O143" s="4"/>
    </x:row>
    <x:row r="144">
      <x:c r="A144" s="4"/>
      <x:c r="B144" s="4"/>
      <x:c r="C144" s="4"/>
      <x:c r="D144" s="4"/>
      <x:c r="E144" s="4"/>
      <x:c r="F144" s="4"/>
      <x:c r="G144" s="4"/>
      <x:c r="H144" s="4"/>
      <x:c r="I144" s="4"/>
      <x:c r="J144" s="4"/>
      <x:c r="K144" s="4"/>
      <x:c r="L144" s="4"/>
      <x:c r="M144" s="4"/>
      <x:c r="N144" s="4"/>
      <x:c r="O144" s="4"/>
    </x:row>
    <x:row r="145">
      <x:c r="A145" s="4"/>
      <x:c r="B145" s="4"/>
      <x:c r="C145" s="4"/>
      <x:c r="D145" s="4"/>
      <x:c r="E145" s="4"/>
      <x:c r="F145" s="4"/>
      <x:c r="G145" s="4"/>
      <x:c r="H145" s="4"/>
      <x:c r="I145" s="4"/>
      <x:c r="J145" s="4"/>
      <x:c r="K145" s="4"/>
      <x:c r="L145" s="4"/>
      <x:c r="M145" s="4"/>
      <x:c r="N145" s="4"/>
      <x:c r="O145" s="4"/>
    </x:row>
    <x:row r="146">
      <x:c r="A146" s="4"/>
      <x:c r="B146" s="4"/>
      <x:c r="C146" s="4"/>
      <x:c r="D146" s="4"/>
      <x:c r="E146" s="4"/>
      <x:c r="F146" s="4"/>
      <x:c r="G146" s="4"/>
      <x:c r="H146" s="4"/>
      <x:c r="I146" s="4"/>
      <x:c r="J146" s="4"/>
      <x:c r="K146" s="4"/>
      <x:c r="L146" s="4"/>
      <x:c r="M146" s="4"/>
      <x:c r="N146" s="4"/>
      <x:c r="O146" s="4"/>
    </x:row>
    <x:row r="147">
      <x:c r="A147" s="4"/>
      <x:c r="B147" s="4"/>
      <x:c r="C147" s="4"/>
      <x:c r="D147" s="4"/>
      <x:c r="E147" s="4"/>
      <x:c r="F147" s="4"/>
      <x:c r="G147" s="4"/>
      <x:c r="H147" s="4"/>
      <x:c r="I147" s="4"/>
      <x:c r="J147" s="4"/>
      <x:c r="K147" s="4"/>
      <x:c r="L147" s="4"/>
      <x:c r="M147" s="4"/>
      <x:c r="N147" s="4"/>
      <x:c r="O147" s="4"/>
    </x:row>
    <x:row r="148">
      <x:c r="A148" s="4"/>
      <x:c r="B148" s="4"/>
      <x:c r="C148" s="4"/>
      <x:c r="D148" s="4"/>
      <x:c r="E148" s="4"/>
      <x:c r="F148" s="4"/>
      <x:c r="G148" s="4"/>
      <x:c r="H148" s="4"/>
      <x:c r="I148" s="4"/>
      <x:c r="J148" s="4"/>
      <x:c r="K148" s="4"/>
      <x:c r="L148" s="4"/>
      <x:c r="M148" s="4"/>
      <x:c r="N148" s="4"/>
      <x:c r="O148" s="4"/>
    </x:row>
    <x:row r="149">
      <x:c r="A149" s="4"/>
      <x:c r="B149" s="4"/>
      <x:c r="C149" s="4"/>
      <x:c r="D149" s="4"/>
      <x:c r="E149" s="4"/>
      <x:c r="F149" s="4"/>
      <x:c r="G149" s="4"/>
      <x:c r="H149" s="4"/>
      <x:c r="I149" s="4"/>
      <x:c r="J149" s="4"/>
      <x:c r="K149" s="4"/>
      <x:c r="L149" s="4"/>
      <x:c r="M149" s="4"/>
      <x:c r="N149" s="4"/>
      <x:c r="O149" s="4"/>
    </x:row>
    <x:row r="150">
      <x:c r="A150" s="4"/>
      <x:c r="B150" s="4"/>
      <x:c r="C150" s="4"/>
      <x:c r="D150" s="4"/>
      <x:c r="E150" s="4"/>
      <x:c r="F150" s="4"/>
      <x:c r="G150" s="4"/>
      <x:c r="H150" s="4"/>
      <x:c r="I150" s="4"/>
      <x:c r="J150" s="4"/>
      <x:c r="K150" s="4"/>
      <x:c r="L150" s="4"/>
      <x:c r="M150" s="4"/>
      <x:c r="N150" s="4"/>
      <x:c r="O150" s="4"/>
    </x:row>
  </x:sheetData>
  <x:mergeCells>
    <x:mergeCell ref="A1:F2"/>
  </x:mergeCells>
  <x:pageMargins left="0.7" right="0.7" top="0.75" bottom="0.75" header="0.3" footer="0.3"/>
  <x:tableParts count="1">
    <x:tablePart xmlns:r="http://schemas.openxmlformats.org/officeDocument/2006/relationships" r:id="R09f4a2b35bbb49e0"/>
  </x:tableParts>
</x:worksheet>
</file>